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la\Desktop\X CICLO\TFA\Parte2\"/>
    </mc:Choice>
  </mc:AlternateContent>
  <xr:revisionPtr revIDLastSave="0" documentId="13_ncr:1_{C1F09EBC-7FD2-496F-8D7D-49A674038194}" xr6:coauthVersionLast="47" xr6:coauthVersionMax="47" xr10:uidLastSave="{00000000-0000-0000-0000-000000000000}"/>
  <bookViews>
    <workbookView xWindow="-110" yWindow="-110" windowWidth="19420" windowHeight="10300" xr2:uid="{AD578172-8259-4B16-BBE6-BD8D80779D0E}"/>
  </bookViews>
  <sheets>
    <sheet name="P15-Diseño mazarota" sheetId="1" r:id="rId1"/>
    <sheet name="Puntos acumulado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8" i="1" l="1"/>
  <c r="F28" i="1"/>
  <c r="B7" i="1"/>
  <c r="B9" i="1" s="1"/>
  <c r="B10" i="1" s="1"/>
  <c r="B23" i="1" s="1"/>
</calcChain>
</file>

<file path=xl/sharedStrings.xml><?xml version="1.0" encoding="utf-8"?>
<sst xmlns="http://schemas.openxmlformats.org/spreadsheetml/2006/main" count="46" uniqueCount="35">
  <si>
    <t>Pregunta 15</t>
  </si>
  <si>
    <t>Placa de aluminio</t>
  </si>
  <si>
    <t>Longitud =</t>
  </si>
  <si>
    <t>mm</t>
  </si>
  <si>
    <t>Ancho =</t>
  </si>
  <si>
    <t>Espesor =</t>
  </si>
  <si>
    <t>Volumen de la pieza =</t>
  </si>
  <si>
    <t>Área superficial =</t>
  </si>
  <si>
    <r>
      <t xml:space="preserve">Módulo de solidificación de  la pieza = V/A </t>
    </r>
    <r>
      <rPr>
        <b/>
        <vertAlign val="subscript"/>
        <sz val="10"/>
        <color theme="1"/>
        <rFont val="Calibri"/>
        <family val="2"/>
        <scheme val="minor"/>
      </rPr>
      <t>pieza</t>
    </r>
    <r>
      <rPr>
        <b/>
        <sz val="10"/>
        <color theme="1"/>
        <rFont val="Calibri"/>
        <family val="2"/>
        <scheme val="minor"/>
      </rPr>
      <t xml:space="preserve"> =</t>
    </r>
  </si>
  <si>
    <r>
      <t xml:space="preserve">Módulo de solificación de la mazarota = V/A </t>
    </r>
    <r>
      <rPr>
        <b/>
        <vertAlign val="subscript"/>
        <sz val="10"/>
        <color theme="1"/>
        <rFont val="Calibri"/>
        <family val="2"/>
        <scheme val="minor"/>
      </rPr>
      <t>mazarota</t>
    </r>
    <r>
      <rPr>
        <b/>
        <sz val="10"/>
        <color theme="1"/>
        <rFont val="Calibri"/>
        <family val="2"/>
        <scheme val="minor"/>
      </rPr>
      <t xml:space="preserve"> =</t>
    </r>
  </si>
  <si>
    <t>Ud diseñará una mazarota cilíndrica con relación D/H = 1</t>
  </si>
  <si>
    <r>
      <t>Conociendo el M</t>
    </r>
    <r>
      <rPr>
        <vertAlign val="subscript"/>
        <sz val="11"/>
        <color theme="1"/>
        <rFont val="Calibri"/>
        <family val="2"/>
        <scheme val="minor"/>
      </rPr>
      <t>mazarota</t>
    </r>
    <r>
      <rPr>
        <sz val="11"/>
        <color theme="1"/>
        <rFont val="Calibri"/>
        <family val="2"/>
        <scheme val="minor"/>
      </rPr>
      <t xml:space="preserve"> = (V/A)</t>
    </r>
    <r>
      <rPr>
        <vertAlign val="subscript"/>
        <sz val="11"/>
        <color theme="1"/>
        <rFont val="Calibri"/>
        <family val="2"/>
        <scheme val="minor"/>
      </rPr>
      <t>mazarota</t>
    </r>
    <r>
      <rPr>
        <sz val="11"/>
        <color theme="1"/>
        <rFont val="Calibri"/>
        <family val="2"/>
        <scheme val="minor"/>
      </rPr>
      <t>, y sabiendo que es cilíndrica:</t>
    </r>
  </si>
  <si>
    <t>V =</t>
  </si>
  <si>
    <r>
      <t>πr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</si>
  <si>
    <t>=</t>
  </si>
  <si>
    <r>
      <t>πd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h/4</t>
    </r>
  </si>
  <si>
    <t>A =</t>
  </si>
  <si>
    <r>
      <t>2πrh+2πr</t>
    </r>
    <r>
      <rPr>
        <vertAlign val="superscript"/>
        <sz val="11"/>
        <color theme="1"/>
        <rFont val="Calibri"/>
        <family val="2"/>
        <scheme val="minor"/>
      </rPr>
      <t>2</t>
    </r>
  </si>
  <si>
    <r>
      <t>πdh+πd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/2</t>
    </r>
  </si>
  <si>
    <r>
      <t xml:space="preserve">Reeemplazando </t>
    </r>
    <r>
      <rPr>
        <b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por 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teniendo en cuenta la relación D/H = 1</t>
    </r>
  </si>
  <si>
    <r>
      <t>πd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/4</t>
    </r>
  </si>
  <si>
    <r>
      <t>πd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+πd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/2</t>
    </r>
  </si>
  <si>
    <r>
      <t>(3πd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)/2</t>
    </r>
  </si>
  <si>
    <t>d/6</t>
  </si>
  <si>
    <t>d =</t>
  </si>
  <si>
    <t>Sabiendo el valor de V/A, reemplazamos para encontrar el diámetro:</t>
  </si>
  <si>
    <r>
      <t>V/A</t>
    </r>
    <r>
      <rPr>
        <vertAlign val="subscript"/>
        <sz val="11"/>
        <color theme="1"/>
        <rFont val="Calibri"/>
        <family val="2"/>
        <scheme val="minor"/>
      </rPr>
      <t>mazarota</t>
    </r>
    <r>
      <rPr>
        <sz val="11"/>
        <color theme="1"/>
        <rFont val="Calibri"/>
        <family val="2"/>
        <scheme val="minor"/>
      </rPr>
      <t xml:space="preserve"> =</t>
    </r>
  </si>
  <si>
    <t>Relación aproximada mostrada en clase para mazarota cilíndrica</t>
  </si>
  <si>
    <r>
      <t>Dividimos para encontrar la relación V/A</t>
    </r>
    <r>
      <rPr>
        <b/>
        <vertAlign val="subscript"/>
        <sz val="11"/>
        <color theme="4"/>
        <rFont val="Calibri"/>
        <family val="2"/>
        <scheme val="minor"/>
      </rPr>
      <t>mazarota</t>
    </r>
    <r>
      <rPr>
        <b/>
        <sz val="11"/>
        <color theme="4"/>
        <rFont val="Calibri"/>
        <family val="2"/>
        <scheme val="minor"/>
      </rPr>
      <t xml:space="preserve">: </t>
    </r>
  </si>
  <si>
    <t>Para lo cual el resultado del diámetro es:</t>
  </si>
  <si>
    <t>Fecha de participación</t>
  </si>
  <si>
    <t>Participación</t>
  </si>
  <si>
    <t>https://books.google.com.pe/books?id=U9g2EAAAQBAJ&amp;pg=PA224&amp;lpg=PA224&amp;dq=10.22+A+cylindrical+riser+with+diameter-to-length+ratio%3D1.0+is+to+be+designed+for+a+sand+casting+mold.+The+casting+geometry+is+illustrated+in+figure+P10.22,+in+which+the+units+are+inches.If+the+mold+constant+in+chvorinov%27s+rule%3D19.5+min/in2,+determine+the+dimensions+of+the+riser+so+that+the+riser+will+take+0.5+min+longer+to+freeze+than+the+casting+itself.&amp;source=bl&amp;ots=gIsye-tr9C&amp;sig=ACfU3U3xfU_eYsyuWlHTXkOewliak3gyzw&amp;hl=es-419&amp;sa=X&amp;ved=2ahUKEwif4ey796f0AhV6H7kGHYUyCP0Q6AF6BAgLEAM#v=onepage&amp;q=10.22%20A%20cylindrical%20riser%20with%20diameter-to-length%20ratio%3D1.0%20is%20to%20be%20designed%20for%20a%20sand%20casting%20mold.%20The%20casting%20geometry%20is%20illustrated%20in%20figure%20P10.22%2C%20in%20which%20the%20units%20are%20inches.If%20the%20mold%20constant%20in%20chvorinov's%20rule%3D19.5%20min%2Fin2%2C%20determine%20the%20dimensions%20of%20the%20riser%20so%20that%20the%20riser%20will%20take%200.5%20min%20longer%20to%20freeze%20than%20the%20casting%20itself.&amp;f=false</t>
  </si>
  <si>
    <t>Fuente:</t>
  </si>
  <si>
    <t>https://www.youtube.com/watch?v=W2x1Fx1p9Ws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</si>
</sst>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0"/>
      <color theme="1"/>
      <name val="Calibri"/>
      <family val="2"/>
      <scheme val="minor"/>
    </font>
    <font>
      <b/>
      <sz val="9"/>
      <color theme="5" tint="-0.499984740745262"/>
      <name val="Lato"/>
      <family val="2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vertAlign val="subscript"/>
      <sz val="11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0" borderId="0" xfId="0" applyFont="1" applyAlignment="1">
      <alignment horizontal="left"/>
    </xf>
    <xf numFmtId="0" fontId="0" fillId="2" borderId="0" xfId="0" applyFill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0" fillId="3" borderId="2" xfId="0" applyFill="1" applyBorder="1" applyAlignment="1">
      <alignment horizontal="left" vertic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0" fillId="0" borderId="3" xfId="0" applyBorder="1"/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9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4" xfId="0" applyBorder="1"/>
    <xf numFmtId="14" fontId="1" fillId="0" borderId="4" xfId="0" applyNumberFormat="1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16457</xdr:colOff>
      <xdr:row>21</xdr:row>
      <xdr:rowOff>17666</xdr:rowOff>
    </xdr:from>
    <xdr:to>
      <xdr:col>7</xdr:col>
      <xdr:colOff>501586</xdr:colOff>
      <xdr:row>25</xdr:row>
      <xdr:rowOff>164823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98E071-C34C-42D5-AB6A-01D0431B9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5684" y="4064348"/>
          <a:ext cx="2148316" cy="886066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1</xdr:row>
      <xdr:rowOff>55563</xdr:rowOff>
    </xdr:from>
    <xdr:to>
      <xdr:col>12</xdr:col>
      <xdr:colOff>341312</xdr:colOff>
      <xdr:row>15</xdr:row>
      <xdr:rowOff>22199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EF9023-D5A5-4ACD-A595-1E6168AFE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68875" y="238126"/>
          <a:ext cx="5278437" cy="26177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39689</xdr:colOff>
      <xdr:row>4</xdr:row>
      <xdr:rowOff>61913</xdr:rowOff>
    </xdr:from>
    <xdr:to>
      <xdr:col>1</xdr:col>
      <xdr:colOff>2965209</xdr:colOff>
      <xdr:row>4</xdr:row>
      <xdr:rowOff>1731963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3E4AED3-91A5-4C72-AA9C-BFC4D28BC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127" y="3482976"/>
          <a:ext cx="2925520" cy="16700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</xdr:row>
      <xdr:rowOff>44451</xdr:rowOff>
    </xdr:from>
    <xdr:to>
      <xdr:col>1</xdr:col>
      <xdr:colOff>3022416</xdr:colOff>
      <xdr:row>3</xdr:row>
      <xdr:rowOff>1746251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BCB61AE-0320-4098-95ED-97D79B836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3950" y="1701801"/>
          <a:ext cx="2984316" cy="170180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23813</xdr:colOff>
      <xdr:row>2</xdr:row>
      <xdr:rowOff>39688</xdr:rowOff>
    </xdr:from>
    <xdr:to>
      <xdr:col>1</xdr:col>
      <xdr:colOff>3042146</xdr:colOff>
      <xdr:row>2</xdr:row>
      <xdr:rowOff>1753700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4BFBA11-0C8C-4678-8BF9-3F7DE1E2F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438" y="706438"/>
          <a:ext cx="3018333" cy="1714012"/>
        </a:xfrm>
        <a:prstGeom prst="rect">
          <a:avLst/>
        </a:prstGeom>
      </xdr:spPr>
    </xdr:pic>
    <xdr:clientData/>
  </xdr:twoCellAnchor>
  <xdr:twoCellAnchor editAs="oneCell">
    <xdr:from>
      <xdr:col>1</xdr:col>
      <xdr:colOff>44451</xdr:colOff>
      <xdr:row>5</xdr:row>
      <xdr:rowOff>77990</xdr:rowOff>
    </xdr:from>
    <xdr:to>
      <xdr:col>1</xdr:col>
      <xdr:colOff>3054350</xdr:colOff>
      <xdr:row>5</xdr:row>
      <xdr:rowOff>1704457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5BA28B-DD33-4F4E-AAC1-E8D434332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4251" y="5900940"/>
          <a:ext cx="3009899" cy="1626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E4C9-D94F-41D6-8A1F-8C1F5C358633}">
  <dimension ref="A1:G31"/>
  <sheetViews>
    <sheetView showGridLines="0" tabSelected="1" topLeftCell="A5" zoomScale="80" zoomScaleNormal="80" workbookViewId="0">
      <selection activeCell="B15" sqref="B15"/>
    </sheetView>
  </sheetViews>
  <sheetFormatPr baseColWidth="10" defaultRowHeight="14.5" x14ac:dyDescent="0.35"/>
  <cols>
    <col min="1" max="1" width="40.26953125" customWidth="1"/>
    <col min="2" max="2" width="11.26953125" style="4" customWidth="1"/>
    <col min="3" max="3" width="4.08984375" bestFit="1" customWidth="1"/>
    <col min="4" max="4" width="7.90625" customWidth="1"/>
    <col min="5" max="5" width="6.26953125" customWidth="1"/>
    <col min="7" max="7" width="6.54296875" customWidth="1"/>
  </cols>
  <sheetData>
    <row r="1" spans="1:4" x14ac:dyDescent="0.35">
      <c r="A1" s="1" t="s">
        <v>0</v>
      </c>
    </row>
    <row r="2" spans="1:4" x14ac:dyDescent="0.35">
      <c r="A2" s="11" t="s">
        <v>1</v>
      </c>
    </row>
    <row r="3" spans="1:4" x14ac:dyDescent="0.35">
      <c r="A3" s="2" t="s">
        <v>2</v>
      </c>
      <c r="B3" s="4">
        <v>373</v>
      </c>
      <c r="C3" t="s">
        <v>3</v>
      </c>
    </row>
    <row r="4" spans="1:4" x14ac:dyDescent="0.35">
      <c r="A4" s="2" t="s">
        <v>4</v>
      </c>
      <c r="B4" s="4">
        <v>108</v>
      </c>
      <c r="C4" t="s">
        <v>3</v>
      </c>
    </row>
    <row r="5" spans="1:4" x14ac:dyDescent="0.35">
      <c r="A5" s="2" t="s">
        <v>5</v>
      </c>
      <c r="B5" s="4">
        <v>50</v>
      </c>
      <c r="C5" t="s">
        <v>3</v>
      </c>
    </row>
    <row r="6" spans="1:4" x14ac:dyDescent="0.35">
      <c r="A6" s="2"/>
    </row>
    <row r="7" spans="1:4" x14ac:dyDescent="0.35">
      <c r="A7" s="2" t="s">
        <v>6</v>
      </c>
      <c r="B7" s="4">
        <f>373*108*50</f>
        <v>2014200</v>
      </c>
      <c r="C7" t="s">
        <v>3</v>
      </c>
    </row>
    <row r="8" spans="1:4" x14ac:dyDescent="0.35">
      <c r="A8" s="2" t="s">
        <v>7</v>
      </c>
      <c r="B8" s="4">
        <f>373*108*2+373*50*2+108*50*2</f>
        <v>128668</v>
      </c>
      <c r="C8" t="s">
        <v>3</v>
      </c>
    </row>
    <row r="9" spans="1:4" ht="15" x14ac:dyDescent="0.4">
      <c r="A9" s="2" t="s">
        <v>8</v>
      </c>
      <c r="B9" s="4">
        <f>B7/B8</f>
        <v>15.654241924954146</v>
      </c>
    </row>
    <row r="10" spans="1:4" ht="15" x14ac:dyDescent="0.4">
      <c r="A10" s="2" t="s">
        <v>9</v>
      </c>
      <c r="B10" s="4">
        <f>B9*1.2</f>
        <v>18.785090309944973</v>
      </c>
    </row>
    <row r="12" spans="1:4" ht="15" x14ac:dyDescent="0.4">
      <c r="A12" s="3" t="s">
        <v>10</v>
      </c>
    </row>
    <row r="13" spans="1:4" ht="16.5" x14ac:dyDescent="0.35">
      <c r="A13" s="4" t="s">
        <v>11</v>
      </c>
    </row>
    <row r="14" spans="1:4" ht="16.5" x14ac:dyDescent="0.35">
      <c r="A14" s="5" t="s">
        <v>12</v>
      </c>
      <c r="B14" s="4" t="s">
        <v>13</v>
      </c>
      <c r="C14" s="7" t="s">
        <v>14</v>
      </c>
      <c r="D14" s="6" t="s">
        <v>15</v>
      </c>
    </row>
    <row r="15" spans="1:4" ht="16.5" x14ac:dyDescent="0.35">
      <c r="A15" s="5" t="s">
        <v>16</v>
      </c>
      <c r="B15" s="4" t="s">
        <v>17</v>
      </c>
      <c r="C15" s="7" t="s">
        <v>14</v>
      </c>
      <c r="D15" t="s">
        <v>18</v>
      </c>
    </row>
    <row r="16" spans="1:4" x14ac:dyDescent="0.35">
      <c r="A16" s="5"/>
      <c r="C16" s="7"/>
    </row>
    <row r="17" spans="1:7" x14ac:dyDescent="0.35">
      <c r="A17" s="8" t="s">
        <v>19</v>
      </c>
      <c r="C17" s="7"/>
    </row>
    <row r="18" spans="1:7" ht="16.5" x14ac:dyDescent="0.35">
      <c r="A18" s="5" t="s">
        <v>12</v>
      </c>
      <c r="B18" s="4" t="s">
        <v>20</v>
      </c>
      <c r="C18" s="7"/>
    </row>
    <row r="19" spans="1:7" ht="16.5" x14ac:dyDescent="0.35">
      <c r="A19" s="5" t="s">
        <v>16</v>
      </c>
      <c r="B19" s="4" t="s">
        <v>21</v>
      </c>
      <c r="C19" s="7" t="s">
        <v>14</v>
      </c>
      <c r="D19" t="s">
        <v>22</v>
      </c>
    </row>
    <row r="20" spans="1:7" ht="15" thickBot="1" x14ac:dyDescent="0.4">
      <c r="A20" s="5"/>
      <c r="C20" s="7"/>
    </row>
    <row r="21" spans="1:7" ht="17" thickBot="1" x14ac:dyDescent="0.5">
      <c r="A21" s="15" t="s">
        <v>28</v>
      </c>
      <c r="B21" s="13" t="s">
        <v>26</v>
      </c>
      <c r="C21" s="14" t="s">
        <v>23</v>
      </c>
      <c r="D21" s="17"/>
      <c r="E21" s="16" t="s">
        <v>27</v>
      </c>
    </row>
    <row r="22" spans="1:7" x14ac:dyDescent="0.35">
      <c r="A22" s="8" t="s">
        <v>25</v>
      </c>
      <c r="D22" s="17"/>
    </row>
    <row r="23" spans="1:7" x14ac:dyDescent="0.35">
      <c r="A23" s="9" t="s">
        <v>24</v>
      </c>
      <c r="B23" s="18">
        <f>B10*6</f>
        <v>112.71054185966983</v>
      </c>
      <c r="C23" s="10" t="s">
        <v>3</v>
      </c>
      <c r="D23" s="17"/>
    </row>
    <row r="24" spans="1:7" x14ac:dyDescent="0.35">
      <c r="D24" s="17"/>
    </row>
    <row r="25" spans="1:7" x14ac:dyDescent="0.35">
      <c r="D25" s="17"/>
    </row>
    <row r="26" spans="1:7" x14ac:dyDescent="0.35">
      <c r="D26" s="17"/>
    </row>
    <row r="27" spans="1:7" x14ac:dyDescent="0.35">
      <c r="D27" s="17"/>
      <c r="E27" t="s">
        <v>29</v>
      </c>
    </row>
    <row r="28" spans="1:7" x14ac:dyDescent="0.35">
      <c r="D28" s="17"/>
      <c r="E28" s="19" t="s">
        <v>24</v>
      </c>
      <c r="F28" s="18">
        <f>B10*5</f>
        <v>93.925451549724869</v>
      </c>
      <c r="G28" s="12" t="s">
        <v>3</v>
      </c>
    </row>
    <row r="29" spans="1:7" x14ac:dyDescent="0.35">
      <c r="A29" t="s">
        <v>33</v>
      </c>
    </row>
    <row r="30" spans="1:7" x14ac:dyDescent="0.35">
      <c r="A30" t="s">
        <v>34</v>
      </c>
    </row>
    <row r="31" spans="1:7" x14ac:dyDescent="0.35">
      <c r="A31" t="s">
        <v>32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6883-8A16-4905-8914-D9CBDE52FB66}">
  <dimension ref="A1:B6"/>
  <sheetViews>
    <sheetView zoomScale="110" zoomScaleNormal="110" workbookViewId="0">
      <selection activeCell="C2" sqref="C2"/>
    </sheetView>
  </sheetViews>
  <sheetFormatPr baseColWidth="10" defaultRowHeight="14.5" x14ac:dyDescent="0.35"/>
  <cols>
    <col min="1" max="1" width="13.453125" style="7" customWidth="1"/>
    <col min="2" max="2" width="44.453125" customWidth="1"/>
  </cols>
  <sheetData>
    <row r="1" spans="1:2" x14ac:dyDescent="0.35">
      <c r="A1" s="4"/>
    </row>
    <row r="2" spans="1:2" s="20" customFormat="1" ht="24" x14ac:dyDescent="0.35">
      <c r="A2" s="21" t="s">
        <v>30</v>
      </c>
      <c r="B2" s="21" t="s">
        <v>31</v>
      </c>
    </row>
    <row r="3" spans="1:2" ht="140" customHeight="1" x14ac:dyDescent="0.35">
      <c r="A3" s="23">
        <v>44460</v>
      </c>
      <c r="B3" s="22"/>
    </row>
    <row r="4" spans="1:2" ht="140" customHeight="1" x14ac:dyDescent="0.35">
      <c r="A4" s="23">
        <v>44483</v>
      </c>
      <c r="B4" s="22"/>
    </row>
    <row r="5" spans="1:2" ht="140" customHeight="1" x14ac:dyDescent="0.35">
      <c r="A5" s="23">
        <v>44488</v>
      </c>
      <c r="B5" s="22"/>
    </row>
    <row r="6" spans="1:2" ht="140" customHeight="1" x14ac:dyDescent="0.35">
      <c r="A6" s="24">
        <v>44490</v>
      </c>
      <c r="B6" s="2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P15-Diseño mazarota</vt:lpstr>
      <vt:lpstr>Puntos acumulados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 Siri Silva Ramos</dc:creator>
  <cp:lastModifiedBy>Perla Siri Silva Ramos</cp:lastModifiedBy>
  <dcterms:created xsi:type="dcterms:W3CDTF">2021-10-19T23:37:03Z</dcterms:created>
  <dcterms:modified xsi:type="dcterms:W3CDTF">2021-11-20T23:33:58Z</dcterms:modified>
</cp:coreProperties>
</file>
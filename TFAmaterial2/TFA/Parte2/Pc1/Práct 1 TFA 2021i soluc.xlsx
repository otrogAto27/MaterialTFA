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la\Desktop\X CICLO\TFA\Parte2\Pc1\"/>
    </mc:Choice>
  </mc:AlternateContent>
  <xr:revisionPtr revIDLastSave="0" documentId="13_ncr:1_{76CCB180-48D1-4A90-8330-2AE97F848B61}" xr6:coauthVersionLast="47" xr6:coauthVersionMax="47" xr10:uidLastSave="{00000000-0000-0000-0000-000000000000}"/>
  <bookViews>
    <workbookView xWindow="-110" yWindow="-110" windowWidth="19420" windowHeight="10420" xr2:uid="{FCEBFD20-37BA-4CBD-9827-4A099A00D52D}"/>
  </bookViews>
  <sheets>
    <sheet name="Soluc pg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/>
  <c r="B47" i="1" l="1"/>
  <c r="B52" i="1" s="1"/>
  <c r="B56" i="1" s="1"/>
  <c r="B59" i="1" s="1"/>
  <c r="B46" i="1"/>
  <c r="B51" i="1" s="1"/>
  <c r="B55" i="1" s="1"/>
  <c r="B45" i="1"/>
  <c r="B50" i="1" s="1"/>
  <c r="B54" i="1" s="1"/>
  <c r="B38" i="1"/>
  <c r="E36" i="1" s="1"/>
  <c r="E37" i="1" s="1"/>
  <c r="E38" i="1" s="1"/>
  <c r="E39" i="1" s="1"/>
  <c r="B20" i="1"/>
  <c r="B21" i="1"/>
  <c r="B25" i="1" s="1"/>
  <c r="B18" i="1"/>
  <c r="B19" i="1" s="1"/>
  <c r="E17" i="1" s="1"/>
  <c r="B16" i="1"/>
  <c r="B15" i="1"/>
  <c r="C11" i="1"/>
  <c r="C8" i="1"/>
  <c r="E5" i="1"/>
  <c r="E4" i="1"/>
  <c r="B57" i="1" l="1"/>
  <c r="B24" i="1"/>
  <c r="B22" i="1"/>
  <c r="E16" i="1" s="1"/>
  <c r="E18" i="1" s="1"/>
  <c r="E19" i="1" s="1"/>
  <c r="C6" i="1"/>
  <c r="C7" i="1" s="1"/>
  <c r="C9" i="1" s="1"/>
  <c r="C12" i="1" s="1"/>
  <c r="D12" i="1" s="1"/>
  <c r="B62" i="1" l="1"/>
  <c r="B63" i="1" s="1"/>
  <c r="B64" i="1" s="1"/>
  <c r="B23" i="1"/>
  <c r="B26" i="1" s="1"/>
  <c r="B27" i="1" s="1"/>
  <c r="E20" i="1" s="1"/>
  <c r="E21" i="1" s="1"/>
  <c r="E24" i="1" s="1"/>
  <c r="E29" i="1" l="1"/>
  <c r="E31" i="1" s="1"/>
  <c r="E32" i="1" s="1"/>
</calcChain>
</file>

<file path=xl/sharedStrings.xml><?xml version="1.0" encoding="utf-8"?>
<sst xmlns="http://schemas.openxmlformats.org/spreadsheetml/2006/main" count="97" uniqueCount="78">
  <si>
    <t>A</t>
  </si>
  <si>
    <t>N</t>
  </si>
  <si>
    <t>2A</t>
  </si>
  <si>
    <t>1A</t>
  </si>
  <si>
    <t>ln(N)</t>
  </si>
  <si>
    <t>ln(2)</t>
  </si>
  <si>
    <r>
      <t>n</t>
    </r>
    <r>
      <rPr>
        <vertAlign val="subscript"/>
        <sz val="11"/>
        <color theme="1"/>
        <rFont val="Calibri"/>
        <family val="2"/>
        <scheme val="minor"/>
      </rPr>
      <t>a</t>
    </r>
  </si>
  <si>
    <r>
      <t>2^(n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-1)</t>
    </r>
  </si>
  <si>
    <t>n</t>
  </si>
  <si>
    <t>Q</t>
  </si>
  <si>
    <t>N° aumentos</t>
  </si>
  <si>
    <t>2log2(N° aum/100)</t>
  </si>
  <si>
    <r>
      <t>n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+Q</t>
    </r>
  </si>
  <si>
    <r>
      <t>2log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(2.5)</t>
    </r>
  </si>
  <si>
    <r>
      <t>log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(2.5)</t>
    </r>
  </si>
  <si>
    <t>Pregunta 1</t>
  </si>
  <si>
    <t>Pregunta 2</t>
  </si>
  <si>
    <t>Area de las caras internas</t>
  </si>
  <si>
    <t>mm2</t>
  </si>
  <si>
    <t>Área de la ventana</t>
  </si>
  <si>
    <t>B</t>
  </si>
  <si>
    <t>Diámetro del semicirculo</t>
  </si>
  <si>
    <t>Área del semicirculo</t>
  </si>
  <si>
    <t>Largo rectángulo</t>
  </si>
  <si>
    <t>Ancho rectángulo</t>
  </si>
  <si>
    <t>Área neta del rectangulo mayor</t>
  </si>
  <si>
    <t>Área lateral externa rectangulo</t>
  </si>
  <si>
    <t>Área lateral del semicirculo</t>
  </si>
  <si>
    <t>Area de extracción de calor del molde</t>
  </si>
  <si>
    <t>Áreas netas sup e inf</t>
  </si>
  <si>
    <t>Volumenes</t>
  </si>
  <si>
    <t>Volumen neto prisma rectangular</t>
  </si>
  <si>
    <t>Vol semircirc</t>
  </si>
  <si>
    <t>Vol pieza</t>
  </si>
  <si>
    <t>mm3</t>
  </si>
  <si>
    <t>Vol pza cm3</t>
  </si>
  <si>
    <t>cm2</t>
  </si>
  <si>
    <t>tiempo de solidif</t>
  </si>
  <si>
    <t>k</t>
  </si>
  <si>
    <t>min/cm2</t>
  </si>
  <si>
    <t>V/A</t>
  </si>
  <si>
    <t>(V/A)^n</t>
  </si>
  <si>
    <t>Mazarota</t>
  </si>
  <si>
    <t>V/A de una maz cilíndrica(D/6)</t>
  </si>
  <si>
    <t>Diam de la mazarota</t>
  </si>
  <si>
    <r>
      <t>3(D/6)</t>
    </r>
    <r>
      <rPr>
        <vertAlign val="superscript"/>
        <sz val="11"/>
        <color theme="1"/>
        <rFont val="Calibri"/>
        <family val="2"/>
        <scheme val="minor"/>
      </rPr>
      <t>2</t>
    </r>
  </si>
  <si>
    <t>Altua de la mazarota</t>
  </si>
  <si>
    <t>Pregunta 3</t>
  </si>
  <si>
    <t>F</t>
  </si>
  <si>
    <t>Db</t>
  </si>
  <si>
    <t>mm</t>
  </si>
  <si>
    <t>Kg</t>
  </si>
  <si>
    <t>Di</t>
  </si>
  <si>
    <t>C</t>
  </si>
  <si>
    <t>HB</t>
  </si>
  <si>
    <r>
      <t>Db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-Di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</si>
  <si>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 xml:space="preserve">Raiz cuadrad </t>
  </si>
  <si>
    <t>pi*Db*(Db-Raiz cuadrada)</t>
  </si>
  <si>
    <t>Pregunta 4</t>
  </si>
  <si>
    <t>Dimensiones</t>
  </si>
  <si>
    <t>Largo</t>
  </si>
  <si>
    <t>Ancho</t>
  </si>
  <si>
    <t>Altura</t>
  </si>
  <si>
    <t>Material(Al)</t>
  </si>
  <si>
    <t>Contracción</t>
  </si>
  <si>
    <t>Semimodelo</t>
  </si>
  <si>
    <t>Semialtura</t>
  </si>
  <si>
    <t>Considerando sobresp mecanizado</t>
  </si>
  <si>
    <t>Sobreespes mec</t>
  </si>
  <si>
    <t>Volumen prisma</t>
  </si>
  <si>
    <t>Calculo de Salida (0.75°)</t>
  </si>
  <si>
    <t>altura</t>
  </si>
  <si>
    <t>cateto opuesto al ang de 0.75°</t>
  </si>
  <si>
    <t>Volumen cuñas de salida</t>
  </si>
  <si>
    <t xml:space="preserve">Volumen semimodelo </t>
  </si>
  <si>
    <t>Volumen modelo</t>
  </si>
  <si>
    <t>cm3</t>
  </si>
  <si>
    <t>Considerando el % de contracción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</si>
</sst>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754178</xdr:colOff>
      <xdr:row>52</xdr:row>
      <xdr:rowOff>63501</xdr:rowOff>
    </xdr:from>
    <xdr:to>
      <xdr:col>8</xdr:col>
      <xdr:colOff>365563</xdr:colOff>
      <xdr:row>64</xdr:row>
      <xdr:rowOff>121227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2D1DBD-7CD6-4EEA-843C-E31DA052A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6087" y="10154228"/>
          <a:ext cx="4425840" cy="2274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8CEE-B2E2-44B0-AF65-F2C34F364E07}">
  <dimension ref="A1:F64"/>
  <sheetViews>
    <sheetView tabSelected="1" topLeftCell="A51" zoomScale="110" zoomScaleNormal="110" workbookViewId="0">
      <selection activeCell="B57" sqref="B57"/>
    </sheetView>
  </sheetViews>
  <sheetFormatPr baseColWidth="10" defaultRowHeight="14.5" x14ac:dyDescent="0.35"/>
  <cols>
    <col min="1" max="1" width="34" customWidth="1"/>
    <col min="2" max="2" width="11.1796875" customWidth="1"/>
    <col min="4" max="4" width="13.36328125" customWidth="1"/>
    <col min="5" max="5" width="11.90625" bestFit="1" customWidth="1"/>
  </cols>
  <sheetData>
    <row r="1" spans="1:6" ht="21" x14ac:dyDescent="0.5">
      <c r="A1" s="6" t="s">
        <v>15</v>
      </c>
      <c r="B1" s="6"/>
      <c r="C1" s="6"/>
      <c r="D1" s="6"/>
      <c r="E1" s="6"/>
      <c r="F1" s="6"/>
    </row>
    <row r="2" spans="1:6" ht="16.5" x14ac:dyDescent="0.45">
      <c r="A2" t="s">
        <v>10</v>
      </c>
      <c r="B2">
        <v>250</v>
      </c>
      <c r="C2" s="1" t="s">
        <v>9</v>
      </c>
      <c r="D2" t="s">
        <v>11</v>
      </c>
      <c r="E2" t="s">
        <v>13</v>
      </c>
    </row>
    <row r="3" spans="1:6" ht="16.5" x14ac:dyDescent="0.45">
      <c r="E3" s="1" t="s">
        <v>14</v>
      </c>
      <c r="F3">
        <v>1.3220000000000001</v>
      </c>
    </row>
    <row r="4" spans="1:6" x14ac:dyDescent="0.35">
      <c r="B4" s="1" t="s">
        <v>0</v>
      </c>
      <c r="C4" s="3">
        <v>5</v>
      </c>
      <c r="D4" s="1" t="s">
        <v>2</v>
      </c>
      <c r="E4">
        <f>2*10+C4</f>
        <v>25</v>
      </c>
    </row>
    <row r="5" spans="1:6" x14ac:dyDescent="0.35">
      <c r="D5" s="1" t="s">
        <v>3</v>
      </c>
      <c r="E5">
        <f>1*10+C4</f>
        <v>15</v>
      </c>
    </row>
    <row r="6" spans="1:6" ht="16.5" x14ac:dyDescent="0.45">
      <c r="B6" s="1" t="s">
        <v>1</v>
      </c>
      <c r="C6">
        <f>(E5/2)+E4</f>
        <v>32.5</v>
      </c>
      <c r="D6" t="s">
        <v>7</v>
      </c>
    </row>
    <row r="7" spans="1:6" x14ac:dyDescent="0.35">
      <c r="B7" s="1" t="s">
        <v>4</v>
      </c>
      <c r="C7">
        <f>LN(C6)</f>
        <v>3.4812400893356918</v>
      </c>
    </row>
    <row r="8" spans="1:6" x14ac:dyDescent="0.35">
      <c r="B8" s="1" t="s">
        <v>5</v>
      </c>
      <c r="C8">
        <f>LN(2)</f>
        <v>0.69314718055994529</v>
      </c>
    </row>
    <row r="9" spans="1:6" ht="16.5" x14ac:dyDescent="0.45">
      <c r="B9" s="1" t="s">
        <v>6</v>
      </c>
      <c r="C9">
        <f>(C7/C8)+1</f>
        <v>6.0223678130284544</v>
      </c>
    </row>
    <row r="10" spans="1:6" ht="16.5" x14ac:dyDescent="0.45">
      <c r="B10" s="1" t="s">
        <v>8</v>
      </c>
      <c r="C10" t="s">
        <v>12</v>
      </c>
    </row>
    <row r="11" spans="1:6" x14ac:dyDescent="0.35">
      <c r="B11" s="1" t="s">
        <v>9</v>
      </c>
      <c r="C11" s="2">
        <f>2*F3</f>
        <v>2.6440000000000001</v>
      </c>
    </row>
    <row r="12" spans="1:6" x14ac:dyDescent="0.35">
      <c r="B12" s="1" t="s">
        <v>8</v>
      </c>
      <c r="C12">
        <f>C9+C11</f>
        <v>8.6663678130284545</v>
      </c>
      <c r="D12" s="3">
        <f>ROUND(C12,0)</f>
        <v>9</v>
      </c>
    </row>
    <row r="14" spans="1:6" ht="21" x14ac:dyDescent="0.5">
      <c r="A14" s="6" t="s">
        <v>16</v>
      </c>
      <c r="B14" s="6"/>
      <c r="C14" s="6"/>
      <c r="D14" s="6"/>
      <c r="E14" s="6"/>
      <c r="F14" s="6"/>
    </row>
    <row r="15" spans="1:6" x14ac:dyDescent="0.35">
      <c r="A15" t="s">
        <v>17</v>
      </c>
      <c r="B15">
        <f>(75*25*2)+(150*25*2)</f>
        <v>11250</v>
      </c>
      <c r="C15" t="s">
        <v>18</v>
      </c>
      <c r="D15" t="s">
        <v>30</v>
      </c>
    </row>
    <row r="16" spans="1:6" x14ac:dyDescent="0.35">
      <c r="A16" t="s">
        <v>19</v>
      </c>
      <c r="B16">
        <f>75*150</f>
        <v>11250</v>
      </c>
      <c r="C16" t="s">
        <v>18</v>
      </c>
      <c r="D16" t="s">
        <v>31</v>
      </c>
      <c r="E16">
        <f>B22*25</f>
        <v>794062.5</v>
      </c>
    </row>
    <row r="17" spans="1:6" x14ac:dyDescent="0.35">
      <c r="A17" t="s">
        <v>20</v>
      </c>
      <c r="B17" s="3">
        <v>5</v>
      </c>
      <c r="D17" t="s">
        <v>32</v>
      </c>
      <c r="E17">
        <f>B19*25</f>
        <v>235864.83687500004</v>
      </c>
    </row>
    <row r="18" spans="1:6" x14ac:dyDescent="0.35">
      <c r="A18" t="s">
        <v>21</v>
      </c>
      <c r="B18">
        <f>100+10*B17+5</f>
        <v>155</v>
      </c>
      <c r="C18" t="s">
        <v>18</v>
      </c>
      <c r="D18" t="s">
        <v>33</v>
      </c>
      <c r="E18">
        <f>E16+E17</f>
        <v>1029927.336875</v>
      </c>
      <c r="F18" t="s">
        <v>34</v>
      </c>
    </row>
    <row r="19" spans="1:6" x14ac:dyDescent="0.35">
      <c r="A19" t="s">
        <v>22</v>
      </c>
      <c r="B19">
        <f>3.141592*B18*B18/8</f>
        <v>9434.5934750000015</v>
      </c>
      <c r="C19" t="s">
        <v>18</v>
      </c>
      <c r="D19" t="s">
        <v>35</v>
      </c>
      <c r="E19">
        <f>E18/1000</f>
        <v>1029.927336875</v>
      </c>
    </row>
    <row r="20" spans="1:6" x14ac:dyDescent="0.35">
      <c r="A20" t="s">
        <v>23</v>
      </c>
      <c r="B20">
        <f>(300+10*B17+5)-(100+10*B17+5)/2</f>
        <v>277.5</v>
      </c>
      <c r="D20" t="s">
        <v>40</v>
      </c>
      <c r="E20">
        <f>E19/B27</f>
        <v>0.9695164110652128</v>
      </c>
    </row>
    <row r="21" spans="1:6" x14ac:dyDescent="0.35">
      <c r="A21" t="s">
        <v>24</v>
      </c>
      <c r="B21">
        <f>100+10*B17+5</f>
        <v>155</v>
      </c>
      <c r="D21" t="s">
        <v>41</v>
      </c>
      <c r="E21">
        <f>E20^(2)</f>
        <v>0.93996207132477072</v>
      </c>
    </row>
    <row r="22" spans="1:6" x14ac:dyDescent="0.35">
      <c r="A22" t="s">
        <v>25</v>
      </c>
      <c r="B22">
        <f>(B20*B21)-B16</f>
        <v>31762.5</v>
      </c>
    </row>
    <row r="23" spans="1:6" x14ac:dyDescent="0.35">
      <c r="A23" t="s">
        <v>29</v>
      </c>
      <c r="B23">
        <f>(B22+B19)*2</f>
        <v>82394.186950000003</v>
      </c>
      <c r="D23" t="s">
        <v>38</v>
      </c>
      <c r="E23">
        <v>3</v>
      </c>
      <c r="F23" t="s">
        <v>39</v>
      </c>
    </row>
    <row r="24" spans="1:6" x14ac:dyDescent="0.35">
      <c r="A24" t="s">
        <v>26</v>
      </c>
      <c r="B24">
        <f>B20*25*2+B18*25</f>
        <v>17750</v>
      </c>
      <c r="D24" t="s">
        <v>37</v>
      </c>
      <c r="E24">
        <f>E23*E21</f>
        <v>2.8198862139743124</v>
      </c>
    </row>
    <row r="25" spans="1:6" x14ac:dyDescent="0.35">
      <c r="A25" t="s">
        <v>27</v>
      </c>
      <c r="B25">
        <f>3.1416*25*B21/2</f>
        <v>6086.8499999999995</v>
      </c>
    </row>
    <row r="26" spans="1:6" x14ac:dyDescent="0.35">
      <c r="A26" t="s">
        <v>28</v>
      </c>
      <c r="B26">
        <f>B23+B24+B25</f>
        <v>106231.03695000001</v>
      </c>
      <c r="C26" t="s">
        <v>18</v>
      </c>
    </row>
    <row r="27" spans="1:6" x14ac:dyDescent="0.35">
      <c r="B27">
        <f>B26/100</f>
        <v>1062.3103695</v>
      </c>
      <c r="C27" t="s">
        <v>36</v>
      </c>
    </row>
    <row r="28" spans="1:6" x14ac:dyDescent="0.35">
      <c r="D28" t="s">
        <v>42</v>
      </c>
    </row>
    <row r="29" spans="1:6" ht="16.5" x14ac:dyDescent="0.35">
      <c r="D29" t="s">
        <v>37</v>
      </c>
      <c r="E29">
        <f>E24+0.5</f>
        <v>3.3198862139743124</v>
      </c>
      <c r="F29" t="s">
        <v>45</v>
      </c>
    </row>
    <row r="30" spans="1:6" x14ac:dyDescent="0.35">
      <c r="D30" t="s">
        <v>43</v>
      </c>
    </row>
    <row r="31" spans="1:6" x14ac:dyDescent="0.35">
      <c r="D31" s="3" t="s">
        <v>44</v>
      </c>
      <c r="E31" s="3">
        <f>6*(E29/3)^(0.5)</f>
        <v>6.3117853708512417</v>
      </c>
    </row>
    <row r="32" spans="1:6" x14ac:dyDescent="0.35">
      <c r="D32" s="3" t="s">
        <v>46</v>
      </c>
      <c r="E32" s="3">
        <f>E31</f>
        <v>6.3117853708512417</v>
      </c>
    </row>
    <row r="34" spans="1:6" ht="21" x14ac:dyDescent="0.5">
      <c r="A34" s="6" t="s">
        <v>47</v>
      </c>
      <c r="B34" s="6"/>
      <c r="C34" s="6"/>
      <c r="D34" s="6"/>
      <c r="E34" s="6"/>
    </row>
    <row r="35" spans="1:6" x14ac:dyDescent="0.35">
      <c r="A35" t="s">
        <v>53</v>
      </c>
      <c r="B35" s="3">
        <v>5</v>
      </c>
    </row>
    <row r="36" spans="1:6" ht="16.5" x14ac:dyDescent="0.35">
      <c r="A36" t="s">
        <v>48</v>
      </c>
      <c r="B36">
        <v>500</v>
      </c>
      <c r="C36" t="s">
        <v>51</v>
      </c>
      <c r="D36" s="1" t="s">
        <v>55</v>
      </c>
      <c r="E36">
        <f>(B37)^(2)-(B38)^(2)</f>
        <v>87.75</v>
      </c>
    </row>
    <row r="37" spans="1:6" x14ac:dyDescent="0.35">
      <c r="A37" t="s">
        <v>49</v>
      </c>
      <c r="B37">
        <v>10</v>
      </c>
      <c r="C37" t="s">
        <v>50</v>
      </c>
      <c r="D37" t="s">
        <v>56</v>
      </c>
      <c r="E37">
        <f>(E36)^(0.5)</f>
        <v>9.3674969975975966</v>
      </c>
    </row>
    <row r="38" spans="1:6" x14ac:dyDescent="0.35">
      <c r="A38" t="s">
        <v>52</v>
      </c>
      <c r="B38">
        <f>3+0.1*B35</f>
        <v>3.5</v>
      </c>
      <c r="D38" t="s">
        <v>57</v>
      </c>
      <c r="E38">
        <f>3.1416*B37*(B37-E37)</f>
        <v>19.870714323473905</v>
      </c>
    </row>
    <row r="39" spans="1:6" x14ac:dyDescent="0.35">
      <c r="D39" t="s">
        <v>54</v>
      </c>
      <c r="E39">
        <f>2*B36/E38</f>
        <v>50.325317133600393</v>
      </c>
    </row>
    <row r="42" spans="1:6" ht="21" x14ac:dyDescent="0.5">
      <c r="A42" s="6" t="s">
        <v>58</v>
      </c>
      <c r="B42" s="6"/>
      <c r="C42" s="6"/>
      <c r="D42" s="6"/>
      <c r="E42" s="6"/>
      <c r="F42" s="6"/>
    </row>
    <row r="43" spans="1:6" x14ac:dyDescent="0.35">
      <c r="A43" t="s">
        <v>20</v>
      </c>
      <c r="B43" s="3">
        <v>5</v>
      </c>
    </row>
    <row r="44" spans="1:6" x14ac:dyDescent="0.35">
      <c r="A44" t="s">
        <v>59</v>
      </c>
      <c r="D44" t="s">
        <v>63</v>
      </c>
    </row>
    <row r="45" spans="1:6" x14ac:dyDescent="0.35">
      <c r="A45" t="s">
        <v>60</v>
      </c>
      <c r="B45">
        <f>400+50+B43</f>
        <v>455</v>
      </c>
      <c r="D45" t="s">
        <v>64</v>
      </c>
      <c r="E45" s="2">
        <v>0.01</v>
      </c>
    </row>
    <row r="46" spans="1:6" x14ac:dyDescent="0.35">
      <c r="A46" t="s">
        <v>61</v>
      </c>
      <c r="B46">
        <f>200+20+B43</f>
        <v>225</v>
      </c>
      <c r="D46" t="s">
        <v>68</v>
      </c>
      <c r="E46" s="2">
        <v>2</v>
      </c>
    </row>
    <row r="47" spans="1:6" x14ac:dyDescent="0.35">
      <c r="A47" t="s">
        <v>62</v>
      </c>
      <c r="B47">
        <f>100+20+B43</f>
        <v>125</v>
      </c>
      <c r="D47" t="s">
        <v>65</v>
      </c>
    </row>
    <row r="48" spans="1:6" x14ac:dyDescent="0.35">
      <c r="A48" s="5" t="s">
        <v>77</v>
      </c>
    </row>
    <row r="49" spans="1:3" x14ac:dyDescent="0.35">
      <c r="A49" s="4" t="s">
        <v>65</v>
      </c>
    </row>
    <row r="50" spans="1:3" x14ac:dyDescent="0.35">
      <c r="A50" t="s">
        <v>60</v>
      </c>
      <c r="B50">
        <f>B45*(1+E45)</f>
        <v>459.55</v>
      </c>
    </row>
    <row r="51" spans="1:3" x14ac:dyDescent="0.35">
      <c r="A51" t="s">
        <v>61</v>
      </c>
      <c r="B51">
        <f>B46*(1+E45)</f>
        <v>227.25</v>
      </c>
    </row>
    <row r="52" spans="1:3" x14ac:dyDescent="0.35">
      <c r="A52" t="s">
        <v>66</v>
      </c>
      <c r="B52">
        <f>(B47/2)*(1+E45)</f>
        <v>63.125</v>
      </c>
    </row>
    <row r="53" spans="1:3" x14ac:dyDescent="0.35">
      <c r="A53" s="5" t="s">
        <v>67</v>
      </c>
    </row>
    <row r="54" spans="1:3" x14ac:dyDescent="0.35">
      <c r="A54" t="s">
        <v>60</v>
      </c>
      <c r="B54">
        <f>B50+E46</f>
        <v>461.55</v>
      </c>
    </row>
    <row r="55" spans="1:3" x14ac:dyDescent="0.35">
      <c r="A55" t="s">
        <v>61</v>
      </c>
      <c r="B55">
        <f>B51+E46</f>
        <v>229.25</v>
      </c>
    </row>
    <row r="56" spans="1:3" x14ac:dyDescent="0.35">
      <c r="A56" t="s">
        <v>66</v>
      </c>
      <c r="B56">
        <f>B52+E46</f>
        <v>65.125</v>
      </c>
    </row>
    <row r="57" spans="1:3" x14ac:dyDescent="0.35">
      <c r="A57" t="s">
        <v>69</v>
      </c>
      <c r="B57">
        <f>B54*B55*B56</f>
        <v>6890898.2296875007</v>
      </c>
      <c r="C57" t="s">
        <v>34</v>
      </c>
    </row>
    <row r="58" spans="1:3" x14ac:dyDescent="0.35">
      <c r="A58" t="s">
        <v>70</v>
      </c>
    </row>
    <row r="59" spans="1:3" x14ac:dyDescent="0.35">
      <c r="A59" t="s">
        <v>71</v>
      </c>
      <c r="B59">
        <f>B56</f>
        <v>65.125</v>
      </c>
      <c r="C59" t="s">
        <v>50</v>
      </c>
    </row>
    <row r="60" spans="1:3" x14ac:dyDescent="0.35">
      <c r="A60" t="s">
        <v>72</v>
      </c>
      <c r="B60">
        <v>0.85599999999999998</v>
      </c>
      <c r="C60" t="s">
        <v>50</v>
      </c>
    </row>
    <row r="61" spans="1:3" x14ac:dyDescent="0.35">
      <c r="A61" t="s">
        <v>73</v>
      </c>
      <c r="B61">
        <f>(B60*B59/2)*(B54+B55)</f>
        <v>19255.013799999997</v>
      </c>
      <c r="C61" t="s">
        <v>34</v>
      </c>
    </row>
    <row r="62" spans="1:3" x14ac:dyDescent="0.35">
      <c r="A62" t="s">
        <v>74</v>
      </c>
      <c r="B62">
        <f>B57+B61</f>
        <v>6910153.2434875006</v>
      </c>
    </row>
    <row r="63" spans="1:3" x14ac:dyDescent="0.35">
      <c r="A63" t="s">
        <v>75</v>
      </c>
      <c r="B63" s="3">
        <f>B62*2</f>
        <v>13820306.486975001</v>
      </c>
      <c r="C63" t="s">
        <v>34</v>
      </c>
    </row>
    <row r="64" spans="1:3" x14ac:dyDescent="0.35">
      <c r="B64">
        <f>B63/1000</f>
        <v>13820.306486975001</v>
      </c>
      <c r="C64" t="s">
        <v>76</v>
      </c>
    </row>
  </sheetData>
  <mergeCells count="4">
    <mergeCell ref="A1:F1"/>
    <mergeCell ref="A34:E34"/>
    <mergeCell ref="A14:F14"/>
    <mergeCell ref="A42:F4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 pgtas</vt:lpstr>
    </vt:vector>
  </TitlesOfParts>
  <Company>Universidad de Piura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Yaksetig Castillo</dc:creator>
  <cp:lastModifiedBy>Perla Siri Silva Ramos</cp:lastModifiedBy>
  <dcterms:created xsi:type="dcterms:W3CDTF">2021-04-18T13:02:45Z</dcterms:created>
  <dcterms:modified xsi:type="dcterms:W3CDTF">2021-10-12T18:11:47Z</dcterms:modified>
</cp:coreProperties>
</file>
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.yaksetig\Desktop\PPTs de Kuay TFA\"/>
    </mc:Choice>
  </mc:AlternateContent>
  <xr:revisionPtr revIDLastSave="0" documentId="8_{E6451D7A-3B80-4DC3-B352-D8A63EDFFA9A}" xr6:coauthVersionLast="36" xr6:coauthVersionMax="36" xr10:uidLastSave="{00000000-0000-0000-0000-000000000000}"/>
  <bookViews>
    <workbookView xWindow="0" yWindow="0" windowWidth="15015" windowHeight="6735" xr2:uid="{9DFB1C25-04A1-459B-A995-3B1EEEB1D4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1" i="1" l="1"/>
  <c r="C44" i="1" s="1"/>
  <c r="C19" i="1"/>
  <c r="F19" i="1" s="1"/>
  <c r="L18" i="1"/>
  <c r="C18" i="1"/>
  <c r="I18" i="1" s="1"/>
  <c r="L17" i="1"/>
  <c r="N17" i="1" s="1"/>
  <c r="C13" i="1"/>
  <c r="C14" i="1" s="1"/>
  <c r="C6" i="1"/>
  <c r="C7" i="1" s="1"/>
  <c r="E7" i="1" s="1"/>
  <c r="C9" i="1" s="1"/>
  <c r="C11" i="1" s="1"/>
  <c r="L20" i="1" l="1"/>
  <c r="F44" i="1"/>
  <c r="I19" i="1"/>
  <c r="L22" i="1" s="1"/>
  <c r="C32" i="1"/>
  <c r="F32" i="1"/>
  <c r="D31" i="1"/>
  <c r="C37" i="1"/>
  <c r="D38" i="1"/>
  <c r="C25" i="1"/>
  <c r="F38" i="1"/>
  <c r="D26" i="1"/>
  <c r="D43" i="1"/>
  <c r="F26" i="1"/>
</calcChain>
</file>

<file path=xl/sharedStrings.xml><?xml version="1.0" encoding="utf-8"?>
<sst xmlns="http://schemas.openxmlformats.org/spreadsheetml/2006/main" count="119" uniqueCount="86">
  <si>
    <t>Pgta 1</t>
  </si>
  <si>
    <t>x</t>
  </si>
  <si>
    <t>Long total a soldar</t>
  </si>
  <si>
    <t>m</t>
  </si>
  <si>
    <t>mm</t>
  </si>
  <si>
    <t>distancia entre planchas</t>
  </si>
  <si>
    <t>Elect de 1/8</t>
  </si>
  <si>
    <t>espesor de plancha</t>
  </si>
  <si>
    <t>Área a rellenar de soldadura</t>
  </si>
  <si>
    <t>mm2</t>
  </si>
  <si>
    <t>Volumen de sold a depositar</t>
  </si>
  <si>
    <t>mm3</t>
  </si>
  <si>
    <t>cm3</t>
  </si>
  <si>
    <t>Densidad de alma elect</t>
  </si>
  <si>
    <t>g/cm3</t>
  </si>
  <si>
    <t>Masa material depositado</t>
  </si>
  <si>
    <t>Desperdicios y salpicaduras</t>
  </si>
  <si>
    <t>%</t>
  </si>
  <si>
    <t>adicional</t>
  </si>
  <si>
    <t>Masa consumida elect</t>
  </si>
  <si>
    <t>g</t>
  </si>
  <si>
    <t>Kg</t>
  </si>
  <si>
    <t>Eficiencia de la deposic</t>
  </si>
  <si>
    <t>Tabla</t>
  </si>
  <si>
    <t>Masa real de mat. a considerar</t>
  </si>
  <si>
    <t>Costo de electrodos (S/.)</t>
  </si>
  <si>
    <t>Costo de energía</t>
  </si>
  <si>
    <t>Tiempo de arco de soldadura(tarc)</t>
  </si>
  <si>
    <t>I</t>
  </si>
  <si>
    <t>Amperios</t>
  </si>
  <si>
    <t>V</t>
  </si>
  <si>
    <t>Voltios</t>
  </si>
  <si>
    <t>tarc</t>
  </si>
  <si>
    <t>Efic de deposic(Zm)</t>
  </si>
  <si>
    <t>Kg/h</t>
  </si>
  <si>
    <t>Pot</t>
  </si>
  <si>
    <t>Watts</t>
  </si>
  <si>
    <t>Kw</t>
  </si>
  <si>
    <t>h</t>
  </si>
  <si>
    <t>Fact otras operac</t>
  </si>
  <si>
    <t>tt</t>
  </si>
  <si>
    <t>Precio del kw-h</t>
  </si>
  <si>
    <t>Costo 1 jornada</t>
  </si>
  <si>
    <t>Costo horario</t>
  </si>
  <si>
    <t>Costo m de o (S/.)</t>
  </si>
  <si>
    <t>Eficiencia de la maq de soldar</t>
  </si>
  <si>
    <t>Costo de energía(S/)</t>
  </si>
  <si>
    <t>Pgta 2</t>
  </si>
  <si>
    <t>x=</t>
  </si>
  <si>
    <t>N° bloque</t>
  </si>
  <si>
    <t>Func prep</t>
  </si>
  <si>
    <t>X</t>
  </si>
  <si>
    <t>Y</t>
  </si>
  <si>
    <t>Z</t>
  </si>
  <si>
    <t>R</t>
  </si>
  <si>
    <t>Costo total(S/)</t>
  </si>
  <si>
    <t>N10</t>
  </si>
  <si>
    <t>G0</t>
  </si>
  <si>
    <t>N20</t>
  </si>
  <si>
    <t>G1</t>
  </si>
  <si>
    <t>N30</t>
  </si>
  <si>
    <t>N40</t>
  </si>
  <si>
    <t>G3</t>
  </si>
  <si>
    <t>N50</t>
  </si>
  <si>
    <t>N60</t>
  </si>
  <si>
    <t>N70</t>
  </si>
  <si>
    <t>N80</t>
  </si>
  <si>
    <t>N90</t>
  </si>
  <si>
    <t>N100</t>
  </si>
  <si>
    <t>N110</t>
  </si>
  <si>
    <t>N120</t>
  </si>
  <si>
    <t>N130</t>
  </si>
  <si>
    <t>N140</t>
  </si>
  <si>
    <t>N150</t>
  </si>
  <si>
    <t>N160</t>
  </si>
  <si>
    <t>N170</t>
  </si>
  <si>
    <t>N180</t>
  </si>
  <si>
    <t>N190</t>
  </si>
  <si>
    <t>N200</t>
  </si>
  <si>
    <t>N210</t>
  </si>
  <si>
    <t>N220</t>
  </si>
  <si>
    <t>N230</t>
  </si>
  <si>
    <t>N240</t>
  </si>
  <si>
    <t>N250</t>
  </si>
  <si>
    <t>N260</t>
  </si>
  <si>
    <t>N270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</si>
</sst>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rgb="FF00206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0" fillId="3" borderId="0" xfId="0" applyFill="1"/>
    <xf numFmtId="0" fontId="2" fillId="4" borderId="1" xfId="0" applyFont="1" applyFill="1" applyBorder="1"/>
    <xf numFmtId="0" fontId="2" fillId="4" borderId="1" xfId="0" applyFont="1" applyFill="1" applyBorder="1" applyAlignment="1">
      <alignment horizontal="center"/>
    </xf>
    <xf numFmtId="0" fontId="3" fillId="5" borderId="0" xfId="0" applyFont="1" applyFill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767AA-80D7-4BAC-8BC3-26278478FA3E}">
  <dimension ref="A1:O49"/>
  <sheetViews>
    <sheetView tabSelected="1" workbookViewId="0">
      <selection activeCell="H25" sqref="H25"/>
    </sheetView>
  </sheetViews>
  <sheetFormatPr baseColWidth="10" defaultRowHeight="15" x14ac:dyDescent="0.25"/>
  <sheetData>
    <row r="1" spans="1:13" x14ac:dyDescent="0.25">
      <c r="A1" s="1" t="s">
        <v>0</v>
      </c>
      <c r="E1" s="1" t="s">
        <v>1</v>
      </c>
      <c r="F1" s="1">
        <v>7</v>
      </c>
    </row>
    <row r="2" spans="1:13" x14ac:dyDescent="0.25">
      <c r="A2" t="s">
        <v>2</v>
      </c>
      <c r="C2">
        <v>4.8</v>
      </c>
      <c r="D2" t="s">
        <v>3</v>
      </c>
      <c r="E2">
        <v>4800</v>
      </c>
      <c r="F2" t="s">
        <v>4</v>
      </c>
    </row>
    <row r="4" spans="1:13" x14ac:dyDescent="0.25">
      <c r="A4" t="s">
        <v>5</v>
      </c>
      <c r="C4">
        <v>3</v>
      </c>
      <c r="D4" t="s">
        <v>4</v>
      </c>
      <c r="G4" t="s">
        <v>6</v>
      </c>
      <c r="H4">
        <v>3</v>
      </c>
      <c r="I4" t="s">
        <v>4</v>
      </c>
    </row>
    <row r="5" spans="1:13" x14ac:dyDescent="0.25">
      <c r="A5" t="s">
        <v>7</v>
      </c>
      <c r="C5">
        <v>6</v>
      </c>
      <c r="D5" t="s">
        <v>4</v>
      </c>
    </row>
    <row r="6" spans="1:13" x14ac:dyDescent="0.25">
      <c r="A6" t="s">
        <v>8</v>
      </c>
      <c r="C6">
        <f>C4*C5</f>
        <v>18</v>
      </c>
      <c r="D6" t="s">
        <v>9</v>
      </c>
    </row>
    <row r="7" spans="1:13" x14ac:dyDescent="0.25">
      <c r="A7" t="s">
        <v>10</v>
      </c>
      <c r="C7">
        <f>C6*E2</f>
        <v>86400</v>
      </c>
      <c r="D7" t="s">
        <v>11</v>
      </c>
      <c r="E7">
        <f>C7/1000</f>
        <v>86.4</v>
      </c>
      <c r="F7" t="s">
        <v>12</v>
      </c>
    </row>
    <row r="8" spans="1:13" x14ac:dyDescent="0.25">
      <c r="A8" t="s">
        <v>13</v>
      </c>
      <c r="C8">
        <v>7.8</v>
      </c>
      <c r="D8" t="s">
        <v>14</v>
      </c>
    </row>
    <row r="9" spans="1:13" x14ac:dyDescent="0.25">
      <c r="A9" t="s">
        <v>15</v>
      </c>
      <c r="C9">
        <f>E7*C8</f>
        <v>673.92000000000007</v>
      </c>
    </row>
    <row r="10" spans="1:13" x14ac:dyDescent="0.25">
      <c r="A10" t="s">
        <v>16</v>
      </c>
      <c r="C10">
        <v>80</v>
      </c>
      <c r="D10" t="s">
        <v>17</v>
      </c>
      <c r="E10" t="s">
        <v>18</v>
      </c>
    </row>
    <row r="11" spans="1:13" x14ac:dyDescent="0.25">
      <c r="A11" t="s">
        <v>19</v>
      </c>
      <c r="C11">
        <f>C9*1.8</f>
        <v>1213.0560000000003</v>
      </c>
      <c r="D11" t="s">
        <v>20</v>
      </c>
      <c r="E11">
        <v>1.2130000000000001</v>
      </c>
      <c r="F11" t="s">
        <v>21</v>
      </c>
    </row>
    <row r="12" spans="1:13" x14ac:dyDescent="0.25">
      <c r="A12" t="s">
        <v>22</v>
      </c>
      <c r="C12">
        <v>55</v>
      </c>
      <c r="D12" t="s">
        <v>17</v>
      </c>
      <c r="E12" t="s">
        <v>23</v>
      </c>
    </row>
    <row r="13" spans="1:13" x14ac:dyDescent="0.25">
      <c r="A13" t="s">
        <v>24</v>
      </c>
      <c r="C13">
        <f>E11/(C12/100)</f>
        <v>2.2054545454545456</v>
      </c>
      <c r="D13" t="s">
        <v>21</v>
      </c>
    </row>
    <row r="14" spans="1:13" x14ac:dyDescent="0.25">
      <c r="A14" t="s">
        <v>25</v>
      </c>
      <c r="C14" s="2">
        <f>C13*14</f>
        <v>30.876363636363639</v>
      </c>
    </row>
    <row r="15" spans="1:13" x14ac:dyDescent="0.25">
      <c r="K15" t="s">
        <v>26</v>
      </c>
    </row>
    <row r="16" spans="1:13" x14ac:dyDescent="0.25">
      <c r="A16" t="s">
        <v>27</v>
      </c>
      <c r="E16" t="s">
        <v>28</v>
      </c>
      <c r="F16">
        <v>125</v>
      </c>
      <c r="G16" t="s">
        <v>29</v>
      </c>
      <c r="K16" t="s">
        <v>30</v>
      </c>
      <c r="L16" s="3">
        <v>24</v>
      </c>
      <c r="M16" t="s">
        <v>31</v>
      </c>
    </row>
    <row r="17" spans="1:15" x14ac:dyDescent="0.25">
      <c r="B17" t="s">
        <v>32</v>
      </c>
      <c r="E17" t="s">
        <v>33</v>
      </c>
      <c r="F17">
        <v>1.2</v>
      </c>
      <c r="G17" t="s">
        <v>34</v>
      </c>
      <c r="K17" t="s">
        <v>35</v>
      </c>
      <c r="L17">
        <f>L16*F16</f>
        <v>3000</v>
      </c>
      <c r="M17" t="s">
        <v>36</v>
      </c>
      <c r="N17">
        <f>L17/1000</f>
        <v>3</v>
      </c>
      <c r="O17" t="s">
        <v>37</v>
      </c>
    </row>
    <row r="18" spans="1:15" x14ac:dyDescent="0.25">
      <c r="B18" t="s">
        <v>32</v>
      </c>
      <c r="C18">
        <f>E11/F17</f>
        <v>1.0108333333333335</v>
      </c>
      <c r="D18" t="s">
        <v>38</v>
      </c>
      <c r="E18" t="s">
        <v>39</v>
      </c>
      <c r="F18">
        <v>10</v>
      </c>
      <c r="G18" t="s">
        <v>17</v>
      </c>
      <c r="H18" s="4" t="s">
        <v>40</v>
      </c>
      <c r="I18">
        <f>C18/(F18/100)</f>
        <v>10.108333333333334</v>
      </c>
      <c r="J18" t="s">
        <v>38</v>
      </c>
      <c r="K18" t="s">
        <v>41</v>
      </c>
      <c r="L18">
        <f>0.5+(F1/100)</f>
        <v>0.57000000000000006</v>
      </c>
    </row>
    <row r="19" spans="1:15" x14ac:dyDescent="0.25">
      <c r="B19" t="s">
        <v>42</v>
      </c>
      <c r="C19">
        <f>160+F1</f>
        <v>167</v>
      </c>
      <c r="E19" t="s">
        <v>43</v>
      </c>
      <c r="F19">
        <f>C19/8</f>
        <v>20.875</v>
      </c>
      <c r="H19" t="s">
        <v>44</v>
      </c>
      <c r="I19" s="2">
        <f>I18*F19</f>
        <v>211.01145833333337</v>
      </c>
      <c r="K19" t="s">
        <v>45</v>
      </c>
      <c r="M19">
        <v>80</v>
      </c>
      <c r="N19" t="s">
        <v>17</v>
      </c>
    </row>
    <row r="20" spans="1:15" x14ac:dyDescent="0.25">
      <c r="K20" t="s">
        <v>46</v>
      </c>
      <c r="L20" s="2">
        <f>N17*C18*L18/(M19/100)</f>
        <v>2.1606562500000006</v>
      </c>
    </row>
    <row r="21" spans="1:15" x14ac:dyDescent="0.25">
      <c r="A21" s="1" t="s">
        <v>47</v>
      </c>
      <c r="D21" s="4" t="s">
        <v>48</v>
      </c>
      <c r="E21" s="5">
        <f>F1</f>
        <v>7</v>
      </c>
      <c r="G21" s="6">
        <v>98</v>
      </c>
    </row>
    <row r="22" spans="1:15" ht="21" x14ac:dyDescent="0.35">
      <c r="A22" s="7" t="s">
        <v>49</v>
      </c>
      <c r="B22" s="7" t="s">
        <v>50</v>
      </c>
      <c r="C22" s="8" t="s">
        <v>51</v>
      </c>
      <c r="D22" s="8" t="s">
        <v>52</v>
      </c>
      <c r="E22" s="8" t="s">
        <v>53</v>
      </c>
      <c r="F22" s="8" t="s">
        <v>54</v>
      </c>
      <c r="K22" t="s">
        <v>55</v>
      </c>
      <c r="L22" s="9">
        <f>C14+I19+L20</f>
        <v>244.04847821969699</v>
      </c>
    </row>
    <row r="23" spans="1:15" x14ac:dyDescent="0.25">
      <c r="A23" s="10" t="s">
        <v>56</v>
      </c>
      <c r="B23" s="10" t="s">
        <v>57</v>
      </c>
      <c r="C23" s="11">
        <v>20</v>
      </c>
      <c r="D23" s="11">
        <v>98</v>
      </c>
      <c r="E23" s="11"/>
      <c r="F23" s="11"/>
    </row>
    <row r="24" spans="1:15" x14ac:dyDescent="0.25">
      <c r="A24" s="10" t="s">
        <v>58</v>
      </c>
      <c r="B24" s="10" t="s">
        <v>59</v>
      </c>
      <c r="C24" s="11"/>
      <c r="D24" s="11"/>
      <c r="E24" s="11">
        <v>-10</v>
      </c>
      <c r="F24" s="11"/>
    </row>
    <row r="25" spans="1:15" x14ac:dyDescent="0.25">
      <c r="A25" s="10" t="s">
        <v>60</v>
      </c>
      <c r="B25" s="10" t="s">
        <v>59</v>
      </c>
      <c r="C25" s="12">
        <f>20+20+E21</f>
        <v>47</v>
      </c>
      <c r="D25" s="11">
        <v>98</v>
      </c>
      <c r="E25" s="11"/>
      <c r="F25" s="11"/>
    </row>
    <row r="26" spans="1:15" x14ac:dyDescent="0.25">
      <c r="A26" s="10" t="s">
        <v>61</v>
      </c>
      <c r="B26" s="10" t="s">
        <v>62</v>
      </c>
      <c r="C26" s="11">
        <v>98</v>
      </c>
      <c r="D26" s="12">
        <f>20+20+E21</f>
        <v>47</v>
      </c>
      <c r="E26" s="11"/>
      <c r="F26" s="12">
        <f>98-(20+20+E21)</f>
        <v>51</v>
      </c>
    </row>
    <row r="27" spans="1:15" x14ac:dyDescent="0.25">
      <c r="A27" s="10" t="s">
        <v>63</v>
      </c>
      <c r="B27" s="10" t="s">
        <v>59</v>
      </c>
      <c r="C27" s="11">
        <v>98</v>
      </c>
      <c r="D27" s="11">
        <v>20</v>
      </c>
      <c r="E27" s="11"/>
      <c r="F27" s="11"/>
    </row>
    <row r="28" spans="1:15" x14ac:dyDescent="0.25">
      <c r="A28" s="10" t="s">
        <v>64</v>
      </c>
      <c r="B28" s="10" t="s">
        <v>59</v>
      </c>
      <c r="C28" s="11">
        <v>40</v>
      </c>
      <c r="D28" s="11">
        <v>20</v>
      </c>
      <c r="E28" s="11"/>
      <c r="F28" s="11"/>
    </row>
    <row r="29" spans="1:15" x14ac:dyDescent="0.25">
      <c r="A29" s="10" t="s">
        <v>65</v>
      </c>
      <c r="B29" s="10" t="s">
        <v>62</v>
      </c>
      <c r="C29" s="11">
        <v>40</v>
      </c>
      <c r="D29" s="11">
        <v>-20</v>
      </c>
      <c r="E29" s="11"/>
      <c r="F29" s="11">
        <v>20</v>
      </c>
    </row>
    <row r="30" spans="1:15" x14ac:dyDescent="0.25">
      <c r="A30" s="10" t="s">
        <v>66</v>
      </c>
      <c r="B30" s="10" t="s">
        <v>59</v>
      </c>
      <c r="C30" s="11">
        <v>98</v>
      </c>
      <c r="D30" s="10">
        <v>-20</v>
      </c>
      <c r="E30" s="10"/>
      <c r="F30" s="10"/>
    </row>
    <row r="31" spans="1:15" x14ac:dyDescent="0.25">
      <c r="A31" s="10" t="s">
        <v>67</v>
      </c>
      <c r="B31" s="10" t="s">
        <v>59</v>
      </c>
      <c r="C31" s="13">
        <v>98</v>
      </c>
      <c r="D31" s="14">
        <f>-(20+20+E21)</f>
        <v>-47</v>
      </c>
      <c r="E31" s="10"/>
      <c r="F31" s="10"/>
    </row>
    <row r="32" spans="1:15" x14ac:dyDescent="0.25">
      <c r="A32" s="10" t="s">
        <v>68</v>
      </c>
      <c r="B32" s="10" t="s">
        <v>62</v>
      </c>
      <c r="C32" s="12">
        <f>20+20+E21</f>
        <v>47</v>
      </c>
      <c r="D32" s="11">
        <v>-98</v>
      </c>
      <c r="E32" s="10"/>
      <c r="F32" s="12">
        <f>98-(20+20+E21)</f>
        <v>51</v>
      </c>
    </row>
    <row r="33" spans="1:6" x14ac:dyDescent="0.25">
      <c r="A33" s="10" t="s">
        <v>69</v>
      </c>
      <c r="B33" s="10" t="s">
        <v>59</v>
      </c>
      <c r="C33" s="11">
        <v>20</v>
      </c>
      <c r="D33" s="11">
        <v>-98</v>
      </c>
      <c r="E33" s="10"/>
      <c r="F33" s="10"/>
    </row>
    <row r="34" spans="1:6" x14ac:dyDescent="0.25">
      <c r="A34" s="10" t="s">
        <v>70</v>
      </c>
      <c r="B34" s="10" t="s">
        <v>59</v>
      </c>
      <c r="C34" s="11">
        <v>20</v>
      </c>
      <c r="D34" s="11">
        <v>-40</v>
      </c>
      <c r="E34" s="10"/>
      <c r="F34" s="10"/>
    </row>
    <row r="35" spans="1:6" x14ac:dyDescent="0.25">
      <c r="A35" s="10" t="s">
        <v>71</v>
      </c>
      <c r="B35" s="10" t="s">
        <v>62</v>
      </c>
      <c r="C35" s="11">
        <v>-20</v>
      </c>
      <c r="D35" s="11">
        <v>-40</v>
      </c>
      <c r="E35" s="11"/>
      <c r="F35" s="11">
        <v>20</v>
      </c>
    </row>
    <row r="36" spans="1:6" x14ac:dyDescent="0.25">
      <c r="A36" s="10" t="s">
        <v>72</v>
      </c>
      <c r="B36" s="10" t="s">
        <v>59</v>
      </c>
      <c r="C36" s="11">
        <v>-20</v>
      </c>
      <c r="D36" s="11">
        <v>-98</v>
      </c>
      <c r="E36" s="11"/>
      <c r="F36" s="11"/>
    </row>
    <row r="37" spans="1:6" x14ac:dyDescent="0.25">
      <c r="A37" s="10" t="s">
        <v>73</v>
      </c>
      <c r="B37" s="10" t="s">
        <v>59</v>
      </c>
      <c r="C37" s="12">
        <f>-(20+20+E21)</f>
        <v>-47</v>
      </c>
      <c r="D37" s="11">
        <v>-98</v>
      </c>
      <c r="E37" s="11"/>
      <c r="F37" s="11"/>
    </row>
    <row r="38" spans="1:6" x14ac:dyDescent="0.25">
      <c r="A38" s="10" t="s">
        <v>74</v>
      </c>
      <c r="B38" s="10" t="s">
        <v>62</v>
      </c>
      <c r="C38" s="11">
        <v>-98</v>
      </c>
      <c r="D38" s="12">
        <f>-(20+20+E21)</f>
        <v>-47</v>
      </c>
      <c r="E38" s="11"/>
      <c r="F38" s="12">
        <f>98-(20+20+E21)</f>
        <v>51</v>
      </c>
    </row>
    <row r="39" spans="1:6" x14ac:dyDescent="0.25">
      <c r="A39" s="10" t="s">
        <v>75</v>
      </c>
      <c r="B39" s="10" t="s">
        <v>59</v>
      </c>
      <c r="C39" s="11">
        <v>-98</v>
      </c>
      <c r="D39" s="11">
        <v>-20</v>
      </c>
      <c r="E39" s="11"/>
      <c r="F39" s="11"/>
    </row>
    <row r="40" spans="1:6" x14ac:dyDescent="0.25">
      <c r="A40" s="10" t="s">
        <v>76</v>
      </c>
      <c r="B40" s="10" t="s">
        <v>59</v>
      </c>
      <c r="C40" s="11">
        <v>-40</v>
      </c>
      <c r="D40" s="11">
        <v>-20</v>
      </c>
      <c r="E40" s="11"/>
      <c r="F40" s="11"/>
    </row>
    <row r="41" spans="1:6" x14ac:dyDescent="0.25">
      <c r="A41" s="10" t="s">
        <v>77</v>
      </c>
      <c r="B41" s="10" t="s">
        <v>62</v>
      </c>
      <c r="C41" s="11">
        <v>-40</v>
      </c>
      <c r="D41" s="11">
        <v>20</v>
      </c>
      <c r="E41" s="11"/>
      <c r="F41" s="11">
        <v>20</v>
      </c>
    </row>
    <row r="42" spans="1:6" x14ac:dyDescent="0.25">
      <c r="A42" s="10" t="s">
        <v>78</v>
      </c>
      <c r="B42" s="10" t="s">
        <v>59</v>
      </c>
      <c r="C42" s="11">
        <v>-98</v>
      </c>
      <c r="D42" s="11">
        <v>20</v>
      </c>
      <c r="E42" s="11"/>
      <c r="F42" s="11"/>
    </row>
    <row r="43" spans="1:6" x14ac:dyDescent="0.25">
      <c r="A43" s="10" t="s">
        <v>79</v>
      </c>
      <c r="B43" s="10" t="s">
        <v>59</v>
      </c>
      <c r="C43" s="11">
        <v>-98</v>
      </c>
      <c r="D43" s="12">
        <f>(20+20+E21)</f>
        <v>47</v>
      </c>
      <c r="E43" s="11"/>
      <c r="F43" s="11"/>
    </row>
    <row r="44" spans="1:6" x14ac:dyDescent="0.25">
      <c r="A44" s="10" t="s">
        <v>80</v>
      </c>
      <c r="B44" s="10" t="s">
        <v>62</v>
      </c>
      <c r="C44" s="12">
        <f>-(20+20+E21)</f>
        <v>-47</v>
      </c>
      <c r="D44" s="11">
        <v>98</v>
      </c>
      <c r="E44" s="11"/>
      <c r="F44" s="12">
        <f>98-(20+20+E21)</f>
        <v>51</v>
      </c>
    </row>
    <row r="45" spans="1:6" x14ac:dyDescent="0.25">
      <c r="A45" s="10" t="s">
        <v>81</v>
      </c>
      <c r="B45" s="10" t="s">
        <v>59</v>
      </c>
      <c r="C45" s="11">
        <v>-20</v>
      </c>
      <c r="D45" s="11">
        <v>98</v>
      </c>
      <c r="E45" s="11"/>
      <c r="F45" s="11"/>
    </row>
    <row r="46" spans="1:6" x14ac:dyDescent="0.25">
      <c r="A46" s="10" t="s">
        <v>82</v>
      </c>
      <c r="B46" s="10" t="s">
        <v>59</v>
      </c>
      <c r="C46" s="11">
        <v>-20</v>
      </c>
      <c r="D46" s="11">
        <v>40</v>
      </c>
      <c r="E46" s="11"/>
      <c r="F46" s="11"/>
    </row>
    <row r="47" spans="1:6" x14ac:dyDescent="0.25">
      <c r="A47" s="10" t="s">
        <v>83</v>
      </c>
      <c r="B47" s="10" t="s">
        <v>62</v>
      </c>
      <c r="C47" s="11">
        <v>20</v>
      </c>
      <c r="D47" s="11">
        <v>40</v>
      </c>
      <c r="E47" s="11"/>
      <c r="F47" s="11">
        <v>20</v>
      </c>
    </row>
    <row r="48" spans="1:6" x14ac:dyDescent="0.25">
      <c r="A48" s="10" t="s">
        <v>84</v>
      </c>
      <c r="B48" s="10" t="s">
        <v>59</v>
      </c>
      <c r="C48" s="11">
        <v>20</v>
      </c>
      <c r="D48" s="11">
        <v>98</v>
      </c>
      <c r="E48" s="11"/>
      <c r="F48" s="11"/>
    </row>
    <row r="49" spans="1:6" x14ac:dyDescent="0.25">
      <c r="A49" s="10" t="s">
        <v>85</v>
      </c>
      <c r="B49" s="10" t="s">
        <v>57</v>
      </c>
      <c r="C49" s="11"/>
      <c r="D49" s="11"/>
      <c r="E49" s="11">
        <v>20</v>
      </c>
      <c r="F49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Universidad de Piura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Yaksetig Castillo</dc:creator>
  <cp:lastModifiedBy>Jorge Yaksetig Castillo</cp:lastModifiedBy>
  <dcterms:created xsi:type="dcterms:W3CDTF">2020-07-11T13:48:58Z</dcterms:created>
  <dcterms:modified xsi:type="dcterms:W3CDTF">2020-07-11T13:50:12Z</dcterms:modified>
</cp:coreProperties>
</file>
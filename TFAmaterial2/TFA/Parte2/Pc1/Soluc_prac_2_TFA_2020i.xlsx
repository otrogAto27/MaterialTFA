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la\Desktop\X CICLO\TFA\Parte2\Pc1\"/>
    </mc:Choice>
  </mc:AlternateContent>
  <xr:revisionPtr revIDLastSave="0" documentId="13_ncr:1_{B46294A5-A0E9-4BA7-A795-09A2EE124F07}" xr6:coauthVersionLast="47" xr6:coauthVersionMax="47" xr10:uidLastSave="{00000000-0000-0000-0000-000000000000}"/>
  <bookViews>
    <workbookView xWindow="-110" yWindow="-110" windowWidth="19420" windowHeight="10300" xr2:uid="{A012BA9C-71FF-4C93-869F-9A3542DA386A}"/>
  </bookViews>
  <sheets>
    <sheet name="Pgta y solu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5" i="1" l="1"/>
  <c r="C18" i="1" l="1"/>
  <c r="H11" i="1"/>
  <c r="D28" i="1"/>
  <c r="K11" i="1" l="1"/>
  <c r="K24" i="1"/>
  <c r="H30" i="1"/>
  <c r="D34" i="1"/>
  <c r="G33" i="1"/>
  <c r="G24" i="1"/>
  <c r="D30" i="1"/>
  <c r="K26" i="1"/>
  <c r="K27" i="1"/>
  <c r="D26" i="1"/>
  <c r="D33" i="1"/>
  <c r="G34" i="1"/>
  <c r="G35" i="1"/>
  <c r="G36" i="1"/>
  <c r="G37" i="1"/>
  <c r="G38" i="1"/>
  <c r="K25" i="1"/>
  <c r="H12" i="1"/>
  <c r="K12" i="1"/>
  <c r="K13" i="1"/>
  <c r="F12" i="1"/>
  <c r="F13" i="1"/>
  <c r="F11" i="1"/>
  <c r="D31" i="1"/>
  <c r="C16" i="1"/>
  <c r="C17" i="1"/>
  <c r="E17" i="1" s="1"/>
  <c r="C19" i="1" l="1"/>
  <c r="E18" i="1"/>
</calcChain>
</file>

<file path=xl/sharedStrings.xml><?xml version="1.0" encoding="utf-8"?>
<sst xmlns="http://schemas.openxmlformats.org/spreadsheetml/2006/main" count="79" uniqueCount="61">
  <si>
    <t>Práctica 2</t>
  </si>
  <si>
    <t>TFA</t>
  </si>
  <si>
    <t>2020i</t>
  </si>
  <si>
    <t>Pgta 1</t>
  </si>
  <si>
    <t>a) Calcular la carga en los cilindros para reducir el espesor de la plancha a 3mm</t>
  </si>
  <si>
    <t>b) Calcular la potencia para desarrollar el proceso de laminado</t>
  </si>
  <si>
    <t>El material se comporta según las siguientes constantes: K = 1250MPa y n 0.18</t>
  </si>
  <si>
    <t>Solución</t>
  </si>
  <si>
    <t>a)</t>
  </si>
  <si>
    <r>
      <t>Cálculo de la deformación(</t>
    </r>
    <r>
      <rPr>
        <sz val="11"/>
        <color theme="1"/>
        <rFont val="Calibri"/>
        <family val="2"/>
      </rPr>
      <t>ε)</t>
    </r>
  </si>
  <si>
    <t>ε</t>
  </si>
  <si>
    <t>ho</t>
  </si>
  <si>
    <t>hf</t>
  </si>
  <si>
    <t>mm</t>
  </si>
  <si>
    <t>Yf</t>
  </si>
  <si>
    <t>k</t>
  </si>
  <si>
    <t>Mpa</t>
  </si>
  <si>
    <t>n</t>
  </si>
  <si>
    <t>MPa</t>
  </si>
  <si>
    <t>ε^n</t>
  </si>
  <si>
    <t>F</t>
  </si>
  <si>
    <t>Pa</t>
  </si>
  <si>
    <t>w</t>
  </si>
  <si>
    <t>m</t>
  </si>
  <si>
    <t>L</t>
  </si>
  <si>
    <t>R</t>
  </si>
  <si>
    <r>
      <rPr>
        <sz val="11"/>
        <color theme="1"/>
        <rFont val="Calibri"/>
        <family val="2"/>
      </rPr>
      <t>Δ</t>
    </r>
    <r>
      <rPr>
        <sz val="7.6"/>
        <color theme="1"/>
        <rFont val="Calibri"/>
        <family val="2"/>
      </rPr>
      <t>h</t>
    </r>
  </si>
  <si>
    <r>
      <t>R*</t>
    </r>
    <r>
      <rPr>
        <sz val="11"/>
        <color theme="1"/>
        <rFont val="Calibri"/>
        <family val="2"/>
      </rPr>
      <t>Δ</t>
    </r>
    <r>
      <rPr>
        <sz val="7.6"/>
        <color theme="1"/>
        <rFont val="Calibri"/>
        <family val="2"/>
      </rPr>
      <t>h</t>
    </r>
  </si>
  <si>
    <t>N</t>
  </si>
  <si>
    <t>Pot</t>
  </si>
  <si>
    <t>rev/min</t>
  </si>
  <si>
    <t>Watts</t>
  </si>
  <si>
    <t>Kw</t>
  </si>
  <si>
    <t>Pot(HP)</t>
  </si>
  <si>
    <t>HP</t>
  </si>
  <si>
    <t>MN</t>
  </si>
  <si>
    <t>Ao</t>
  </si>
  <si>
    <t>Do</t>
  </si>
  <si>
    <t>Lo</t>
  </si>
  <si>
    <t>Espesor</t>
  </si>
  <si>
    <t>Cx</t>
  </si>
  <si>
    <t>Af</t>
  </si>
  <si>
    <t>r</t>
  </si>
  <si>
    <t>Cc</t>
  </si>
  <si>
    <t>Dequiv</t>
  </si>
  <si>
    <t>Kx</t>
  </si>
  <si>
    <t xml:space="preserve">Remanente </t>
  </si>
  <si>
    <t>Longitud final</t>
  </si>
  <si>
    <t>Volum pasado por el dado</t>
  </si>
  <si>
    <t>mm3</t>
  </si>
  <si>
    <t>K</t>
  </si>
  <si>
    <t>Ultimo dígito del DNI</t>
  </si>
  <si>
    <t>εx</t>
  </si>
  <si>
    <t>a</t>
  </si>
  <si>
    <t>b</t>
  </si>
  <si>
    <t>pf</t>
  </si>
  <si>
    <t>Kg</t>
  </si>
  <si>
    <t>Ton</t>
  </si>
  <si>
    <r>
      <t>Mediante un proceso de laminación se pretende reducir el espesor de una plancha de acero de 1850mm de ancho y 3.5mm de espesor. Si los cilindros empleados tienen un diámetro de</t>
    </r>
    <r>
      <rPr>
        <sz val="11"/>
        <color rgb="FFFF0000"/>
        <rFont val="Calibri"/>
        <family val="2"/>
        <scheme val="minor"/>
      </rPr>
      <t xml:space="preserve"> 0.3ab ("ab" son los primeros dígitos de su DNI)</t>
    </r>
    <r>
      <rPr>
        <sz val="11"/>
        <color theme="1"/>
        <rFont val="Calibri"/>
        <family val="2"/>
        <scheme val="minor"/>
      </rPr>
      <t xml:space="preserve"> metros. Los cilindros giran a 3.14 rad/s. Se pide</t>
    </r>
  </si>
  <si>
    <t>Pgta 2</t>
  </si>
  <si>
    <t>Diámetro cilindro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</si>
</sst>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7.6"/>
      <color theme="1"/>
      <name val="Calibri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/>
    <xf numFmtId="0" fontId="4" fillId="0" borderId="0" xfId="0" applyFont="1"/>
    <xf numFmtId="0" fontId="0" fillId="2" borderId="0" xfId="0" applyFill="1"/>
    <xf numFmtId="0" fontId="6" fillId="0" borderId="0" xfId="0" applyFont="1"/>
    <xf numFmtId="0" fontId="0" fillId="3" borderId="0" xfId="0" applyFill="1"/>
    <xf numFmtId="0" fontId="0" fillId="4" borderId="0" xfId="0" applyFill="1"/>
    <xf numFmtId="0" fontId="7" fillId="0" borderId="0" xfId="0" applyFont="1"/>
    <xf numFmtId="0" fontId="8" fillId="0" borderId="0" xfId="0" applyFont="1" applyAlignment="1">
      <alignment vertical="top"/>
    </xf>
    <xf numFmtId="0" fontId="0" fillId="0" borderId="0" xfId="0" applyFill="1"/>
    <xf numFmtId="0" fontId="9" fillId="2" borderId="0" xfId="0" applyFont="1" applyFill="1"/>
    <xf numFmtId="0" fontId="1" fillId="5" borderId="0" xfId="0" applyFont="1" applyFill="1"/>
    <xf numFmtId="0" fontId="10" fillId="5" borderId="0" xfId="0" applyFont="1" applyFill="1"/>
    <xf numFmtId="0" fontId="0" fillId="5" borderId="0" xfId="0" applyFill="1"/>
    <xf numFmtId="0" fontId="1" fillId="0" borderId="0" xfId="0" applyFont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0" fillId="6" borderId="0" xfId="0" applyFill="1" applyAlignment="1">
      <alignment horizontal="left"/>
    </xf>
    <xf numFmtId="164" fontId="0" fillId="6" borderId="0" xfId="0" applyNumberFormat="1" applyFill="1"/>
    <xf numFmtId="0" fontId="1" fillId="6" borderId="1" xfId="0" applyFont="1" applyFill="1" applyBorder="1" applyAlignment="1">
      <alignment horizontal="right"/>
    </xf>
    <xf numFmtId="0" fontId="1" fillId="6" borderId="2" xfId="0" applyFont="1" applyFill="1" applyBorder="1"/>
    <xf numFmtId="0" fontId="0" fillId="6" borderId="3" xfId="0" applyFill="1" applyBorder="1"/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167410</xdr:colOff>
      <xdr:row>13</xdr:row>
      <xdr:rowOff>184615</xdr:rowOff>
    </xdr:from>
    <xdr:to>
      <xdr:col>12</xdr:col>
      <xdr:colOff>123538</xdr:colOff>
      <xdr:row>19</xdr:row>
      <xdr:rowOff>42925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55390E-6DC8-4E65-A85A-B0537162B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7865" y="3146024"/>
          <a:ext cx="2294082" cy="978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4749-EDD9-4FAB-9925-032D67750DAF}">
  <dimension ref="A1:M38"/>
  <sheetViews>
    <sheetView tabSelected="1" topLeftCell="A19" zoomScale="110" zoomScaleNormal="110" workbookViewId="0">
      <selection activeCell="L29" sqref="L29"/>
    </sheetView>
  </sheetViews>
  <sheetFormatPr baseColWidth="10" defaultColWidth="10.7265625" defaultRowHeight="14.5" x14ac:dyDescent="0.35"/>
  <cols>
    <col min="1" max="2" width="10.26953125" customWidth="1"/>
    <col min="3" max="3" width="13.54296875" customWidth="1"/>
    <col min="4" max="4" width="12.1796875" customWidth="1"/>
    <col min="6" max="6" width="12.453125" customWidth="1"/>
    <col min="7" max="7" width="14.26953125" customWidth="1"/>
    <col min="9" max="9" width="7.1796875" customWidth="1"/>
    <col min="10" max="10" width="12" customWidth="1"/>
  </cols>
  <sheetData>
    <row r="1" spans="1:12" x14ac:dyDescent="0.35">
      <c r="A1" s="19" t="s">
        <v>0</v>
      </c>
      <c r="B1" s="19" t="s">
        <v>1</v>
      </c>
      <c r="C1" s="19" t="s">
        <v>2</v>
      </c>
    </row>
    <row r="3" spans="1:12" ht="54.75" customHeight="1" x14ac:dyDescent="0.35">
      <c r="A3" s="14" t="s">
        <v>3</v>
      </c>
      <c r="B3" s="28" t="s">
        <v>58</v>
      </c>
      <c r="C3" s="28"/>
      <c r="D3" s="28"/>
      <c r="E3" s="28"/>
      <c r="F3" s="28"/>
      <c r="G3" s="28"/>
      <c r="H3" s="28"/>
      <c r="I3" s="4"/>
      <c r="J3" s="29"/>
      <c r="K3" s="29"/>
      <c r="L3" s="29"/>
    </row>
    <row r="4" spans="1:12" x14ac:dyDescent="0.35">
      <c r="B4" s="1" t="s">
        <v>4</v>
      </c>
    </row>
    <row r="5" spans="1:12" x14ac:dyDescent="0.35">
      <c r="B5" s="1" t="s">
        <v>5</v>
      </c>
    </row>
    <row r="6" spans="1:12" x14ac:dyDescent="0.35">
      <c r="B6" s="1"/>
    </row>
    <row r="7" spans="1:12" x14ac:dyDescent="0.35">
      <c r="B7" s="1"/>
    </row>
    <row r="8" spans="1:12" x14ac:dyDescent="0.35">
      <c r="B8" s="1" t="s">
        <v>6</v>
      </c>
    </row>
    <row r="9" spans="1:12" x14ac:dyDescent="0.35">
      <c r="A9" t="s">
        <v>7</v>
      </c>
    </row>
    <row r="10" spans="1:12" ht="18.5" x14ac:dyDescent="0.45">
      <c r="A10" t="s">
        <v>8</v>
      </c>
      <c r="B10" s="1" t="s">
        <v>9</v>
      </c>
      <c r="H10" t="s">
        <v>60</v>
      </c>
      <c r="J10" s="18">
        <v>0.375</v>
      </c>
    </row>
    <row r="11" spans="1:12" x14ac:dyDescent="0.35">
      <c r="B11" s="2" t="s">
        <v>11</v>
      </c>
      <c r="C11">
        <v>3.5</v>
      </c>
      <c r="D11" t="s">
        <v>13</v>
      </c>
      <c r="E11" s="3" t="s">
        <v>10</v>
      </c>
      <c r="F11">
        <f>LN(C11/C12)</f>
        <v>0.15415067982725836</v>
      </c>
      <c r="G11" s="22" t="s">
        <v>22</v>
      </c>
      <c r="H11" s="22">
        <f>1850/1000</f>
        <v>1.85</v>
      </c>
      <c r="I11" s="21" t="s">
        <v>23</v>
      </c>
      <c r="J11" s="6" t="s">
        <v>26</v>
      </c>
      <c r="K11">
        <f>C11-C12</f>
        <v>0.5</v>
      </c>
      <c r="L11" t="s">
        <v>13</v>
      </c>
    </row>
    <row r="12" spans="1:12" x14ac:dyDescent="0.35">
      <c r="A12" s="12">
        <v>2.75</v>
      </c>
      <c r="B12" s="2" t="s">
        <v>12</v>
      </c>
      <c r="C12" s="17">
        <v>3</v>
      </c>
      <c r="D12" t="s">
        <v>13</v>
      </c>
      <c r="E12" s="3" t="s">
        <v>19</v>
      </c>
      <c r="F12">
        <f>POWER(LN(C11/C12), C14)</f>
        <v>0.71421699474340661</v>
      </c>
      <c r="G12" s="3" t="s">
        <v>25</v>
      </c>
      <c r="H12">
        <f>J10/2</f>
        <v>0.1875</v>
      </c>
      <c r="I12" t="s">
        <v>23</v>
      </c>
      <c r="J12" s="3" t="s">
        <v>27</v>
      </c>
      <c r="K12">
        <f>H12*K11/1000</f>
        <v>9.3750000000000002E-5</v>
      </c>
    </row>
    <row r="13" spans="1:12" x14ac:dyDescent="0.35">
      <c r="B13" s="3" t="s">
        <v>15</v>
      </c>
      <c r="C13">
        <v>1250</v>
      </c>
      <c r="D13" t="s">
        <v>18</v>
      </c>
      <c r="E13" s="22" t="s">
        <v>14</v>
      </c>
      <c r="F13" s="21">
        <f>C13*F12/(1+C14)</f>
        <v>756.58579951632055</v>
      </c>
      <c r="G13" s="23" t="s">
        <v>16</v>
      </c>
      <c r="J13" s="22" t="s">
        <v>24</v>
      </c>
      <c r="K13" s="21">
        <f>POWER(K12, 0.5)</f>
        <v>9.6824583655185422E-3</v>
      </c>
      <c r="L13" s="21" t="s">
        <v>23</v>
      </c>
    </row>
    <row r="14" spans="1:12" x14ac:dyDescent="0.35">
      <c r="B14" s="3" t="s">
        <v>17</v>
      </c>
      <c r="C14">
        <v>0.18</v>
      </c>
      <c r="F14">
        <v>756585799</v>
      </c>
      <c r="G14" t="s">
        <v>21</v>
      </c>
      <c r="J14" s="3" t="s">
        <v>28</v>
      </c>
      <c r="K14">
        <v>30</v>
      </c>
      <c r="L14" t="s">
        <v>30</v>
      </c>
    </row>
    <row r="15" spans="1:12" x14ac:dyDescent="0.35">
      <c r="E15" s="3" t="s">
        <v>20</v>
      </c>
    </row>
    <row r="16" spans="1:12" ht="15" thickBot="1" x14ac:dyDescent="0.4">
      <c r="B16" s="22" t="s">
        <v>14</v>
      </c>
      <c r="C16" s="24">
        <f>C13*F12/(1+C14)</f>
        <v>756.58579951632055</v>
      </c>
      <c r="D16" s="21" t="s">
        <v>18</v>
      </c>
      <c r="F16" t="s">
        <v>21</v>
      </c>
    </row>
    <row r="17" spans="1:13" ht="15" thickBot="1" x14ac:dyDescent="0.4">
      <c r="B17" s="25" t="s">
        <v>20</v>
      </c>
      <c r="C17" s="26">
        <f>C16*H11*K13</f>
        <v>13.552379431954767</v>
      </c>
      <c r="D17" s="27" t="s">
        <v>35</v>
      </c>
      <c r="E17" s="9">
        <f>C17*1000000</f>
        <v>13552379.431954768</v>
      </c>
    </row>
    <row r="18" spans="1:13" x14ac:dyDescent="0.35">
      <c r="B18" s="20" t="s">
        <v>29</v>
      </c>
      <c r="C18" s="7">
        <f>3.1416*K14*E17*K13/30</f>
        <v>412241.85031470709</v>
      </c>
      <c r="D18" t="s">
        <v>31</v>
      </c>
      <c r="E18" s="9">
        <f>C18/1000</f>
        <v>412.24185031470711</v>
      </c>
      <c r="F18" t="s">
        <v>32</v>
      </c>
    </row>
    <row r="19" spans="1:13" x14ac:dyDescent="0.35">
      <c r="B19" s="3" t="s">
        <v>33</v>
      </c>
      <c r="C19" s="8">
        <f>C18/745.7</f>
        <v>552.82533232493904</v>
      </c>
      <c r="D19" t="s">
        <v>34</v>
      </c>
    </row>
    <row r="21" spans="1:13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3" spans="1:13" ht="26" x14ac:dyDescent="0.6">
      <c r="A23" s="13" t="s">
        <v>59</v>
      </c>
      <c r="C23" t="s">
        <v>51</v>
      </c>
      <c r="E23" s="7">
        <v>4</v>
      </c>
    </row>
    <row r="24" spans="1:13" x14ac:dyDescent="0.35">
      <c r="C24" t="s">
        <v>37</v>
      </c>
      <c r="D24">
        <v>90</v>
      </c>
      <c r="E24" t="s">
        <v>13</v>
      </c>
      <c r="F24" s="3" t="s">
        <v>36</v>
      </c>
      <c r="G24">
        <f>3.1416*D24*D24/4</f>
        <v>6361.74</v>
      </c>
      <c r="J24" s="3" t="s">
        <v>39</v>
      </c>
      <c r="K24" s="7">
        <f>10+E23</f>
        <v>14</v>
      </c>
    </row>
    <row r="25" spans="1:13" x14ac:dyDescent="0.35">
      <c r="C25" t="s">
        <v>38</v>
      </c>
      <c r="D25">
        <v>250</v>
      </c>
      <c r="E25" t="s">
        <v>13</v>
      </c>
      <c r="F25" s="3" t="s">
        <v>41</v>
      </c>
      <c r="G25">
        <f>63*K24+38*K24</f>
        <v>1414</v>
      </c>
      <c r="J25" s="3" t="s">
        <v>40</v>
      </c>
      <c r="K25">
        <f>50+63+K24+(63-K24)+(50-K24)+K24</f>
        <v>226</v>
      </c>
    </row>
    <row r="26" spans="1:13" x14ac:dyDescent="0.35">
      <c r="C26" s="9" t="s">
        <v>42</v>
      </c>
      <c r="D26" s="9">
        <f>G24/G25</f>
        <v>4.4991089108910893</v>
      </c>
      <c r="F26" t="s">
        <v>46</v>
      </c>
      <c r="G26">
        <v>25</v>
      </c>
      <c r="J26" s="3" t="s">
        <v>44</v>
      </c>
      <c r="K26">
        <f>((4*1212/3.1416)^0.5)</f>
        <v>39.283109851860097</v>
      </c>
    </row>
    <row r="27" spans="1:13" x14ac:dyDescent="0.35">
      <c r="J27" s="3" t="s">
        <v>43</v>
      </c>
      <c r="K27">
        <f>3.1416*K26</f>
        <v>123.41181791060367</v>
      </c>
    </row>
    <row r="28" spans="1:13" x14ac:dyDescent="0.35">
      <c r="C28" s="9" t="s">
        <v>45</v>
      </c>
      <c r="D28" s="9">
        <f>0.98+0.02*(K25/K27)^2.25</f>
        <v>1.0580227578063455</v>
      </c>
    </row>
    <row r="29" spans="1:13" x14ac:dyDescent="0.35">
      <c r="G29" s="3" t="s">
        <v>50</v>
      </c>
      <c r="H29">
        <v>400</v>
      </c>
      <c r="I29" t="s">
        <v>18</v>
      </c>
    </row>
    <row r="30" spans="1:13" x14ac:dyDescent="0.35">
      <c r="C30" s="15" t="s">
        <v>48</v>
      </c>
      <c r="D30">
        <f>G24*(D25-G26)</f>
        <v>1431391.5</v>
      </c>
      <c r="E30" t="s">
        <v>49</v>
      </c>
      <c r="G30" s="3" t="s">
        <v>17</v>
      </c>
      <c r="H30" s="7">
        <f>0.1+E23/100</f>
        <v>0.14000000000000001</v>
      </c>
    </row>
    <row r="31" spans="1:13" x14ac:dyDescent="0.35">
      <c r="C31" s="9" t="s">
        <v>47</v>
      </c>
      <c r="D31" s="9">
        <f>D30/G25</f>
        <v>1012.299504950495</v>
      </c>
      <c r="E31" t="s">
        <v>13</v>
      </c>
    </row>
    <row r="33" spans="3:8" x14ac:dyDescent="0.35">
      <c r="C33" s="5" t="s">
        <v>10</v>
      </c>
      <c r="D33">
        <f>LN(D26)</f>
        <v>1.5038793573657843</v>
      </c>
      <c r="F33" t="s">
        <v>14</v>
      </c>
      <c r="G33">
        <f>H29*D34/(1+H30)</f>
        <v>376.61540050273771</v>
      </c>
    </row>
    <row r="34" spans="3:8" x14ac:dyDescent="0.35">
      <c r="C34" s="5" t="s">
        <v>19</v>
      </c>
      <c r="D34">
        <f>POWER(1.658030037, H30)</f>
        <v>1.0733538914328027</v>
      </c>
      <c r="F34" t="s">
        <v>52</v>
      </c>
      <c r="G34">
        <f>D35+D36*D33</f>
        <v>2.8302371324438091</v>
      </c>
    </row>
    <row r="35" spans="3:8" x14ac:dyDescent="0.35">
      <c r="C35" s="5" t="s">
        <v>53</v>
      </c>
      <c r="D35">
        <v>0.8</v>
      </c>
      <c r="F35" t="s">
        <v>55</v>
      </c>
      <c r="G35">
        <f xml:space="preserve"> G33*(G34+(2*D25/D24))</f>
        <v>3158.2186717238101</v>
      </c>
    </row>
    <row r="36" spans="3:8" x14ac:dyDescent="0.35">
      <c r="C36" s="5" t="s">
        <v>54</v>
      </c>
      <c r="D36">
        <v>1.35</v>
      </c>
      <c r="F36" t="s">
        <v>20</v>
      </c>
      <c r="G36" s="16">
        <f>G35*G24</f>
        <v>20091766.052652232</v>
      </c>
      <c r="H36" s="10" t="s">
        <v>28</v>
      </c>
    </row>
    <row r="37" spans="3:8" x14ac:dyDescent="0.35">
      <c r="G37" s="10">
        <f>G36/9.81</f>
        <v>2048090.3213712773</v>
      </c>
      <c r="H37" s="10" t="s">
        <v>56</v>
      </c>
    </row>
    <row r="38" spans="3:8" x14ac:dyDescent="0.35">
      <c r="G38" s="10">
        <f>G37/1000</f>
        <v>2048.0903213712772</v>
      </c>
      <c r="H38" s="10" t="s">
        <v>57</v>
      </c>
    </row>
  </sheetData>
  <mergeCells count="2">
    <mergeCell ref="B3:H3"/>
    <mergeCell ref="J3:L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Pgta y soluc</vt:lpstr>
    </vt:vector>
  </TitlesOfParts>
  <Company>Universidad de Piura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Yaksetig Castillo</dc:creator>
  <cp:lastModifiedBy>Perla Siri Silva Ramos</cp:lastModifiedBy>
  <dcterms:created xsi:type="dcterms:W3CDTF">2020-05-01T13:06:48Z</dcterms:created>
  <dcterms:modified xsi:type="dcterms:W3CDTF">2021-10-29T16:43:32Z</dcterms:modified>
</cp:coreProperties>
</file>
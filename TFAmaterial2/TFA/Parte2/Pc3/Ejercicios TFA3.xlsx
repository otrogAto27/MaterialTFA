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la\Desktop\X CICLO\TFA\Parte2\Pc3\"/>
    </mc:Choice>
  </mc:AlternateContent>
  <xr:revisionPtr revIDLastSave="0" documentId="13_ncr:1_{1573416E-41DE-4F3F-9CAB-CC0DF0325C7E}" xr6:coauthVersionLast="47" xr6:coauthVersionMax="47" xr10:uidLastSave="{00000000-0000-0000-0000-000000000000}"/>
  <bookViews>
    <workbookView xWindow="-110" yWindow="-110" windowWidth="19420" windowHeight="10300" activeTab="1" xr2:uid="{3C778161-6E0E-4F4C-BFD5-AF6144AA587F}"/>
  </bookViews>
  <sheets>
    <sheet name="CNC" sheetId="1" r:id="rId1"/>
    <sheet name="CNC1" sheetId="2" r:id="rId2"/>
    <sheet name="CNC2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2" i="2" l="1"/>
  <c r="I12" i="2"/>
  <c r="M12" i="2" s="1"/>
</calcChain>
</file>

<file path=xl/sharedStrings.xml><?xml version="1.0" encoding="utf-8"?>
<sst xmlns="http://schemas.openxmlformats.org/spreadsheetml/2006/main" count="226" uniqueCount="87">
  <si>
    <t>CNC</t>
  </si>
  <si>
    <t>N10</t>
  </si>
  <si>
    <t>N20</t>
  </si>
  <si>
    <t>N30</t>
  </si>
  <si>
    <t>N40</t>
  </si>
  <si>
    <t>N50</t>
  </si>
  <si>
    <t>N60</t>
  </si>
  <si>
    <t>N70</t>
  </si>
  <si>
    <t>N80</t>
  </si>
  <si>
    <t>N90</t>
  </si>
  <si>
    <t>N100</t>
  </si>
  <si>
    <t>N110</t>
  </si>
  <si>
    <t>N120</t>
  </si>
  <si>
    <t>N130</t>
  </si>
  <si>
    <t>N140</t>
  </si>
  <si>
    <t>N150</t>
  </si>
  <si>
    <t>N160</t>
  </si>
  <si>
    <t>N170</t>
  </si>
  <si>
    <t>G17</t>
  </si>
  <si>
    <t>G0</t>
  </si>
  <si>
    <t>R =</t>
  </si>
  <si>
    <t>T</t>
  </si>
  <si>
    <t>G90</t>
  </si>
  <si>
    <t>Z-2</t>
  </si>
  <si>
    <t>G2</t>
  </si>
  <si>
    <t>X20</t>
  </si>
  <si>
    <t>Y0</t>
  </si>
  <si>
    <t>R10</t>
  </si>
  <si>
    <t>X0</t>
  </si>
  <si>
    <t>G3</t>
  </si>
  <si>
    <t>X40</t>
  </si>
  <si>
    <t>R20</t>
  </si>
  <si>
    <t>Y20</t>
  </si>
  <si>
    <t>Y40</t>
  </si>
  <si>
    <t>X-20</t>
  </si>
  <si>
    <t>X-40</t>
  </si>
  <si>
    <t>Y-20</t>
  </si>
  <si>
    <t>Y-40</t>
  </si>
  <si>
    <t>M5</t>
  </si>
  <si>
    <t>Z2</t>
  </si>
  <si>
    <t>M30</t>
  </si>
  <si>
    <t>N180</t>
  </si>
  <si>
    <t>Z0</t>
  </si>
  <si>
    <t>N190</t>
  </si>
  <si>
    <t>Condiciones iniciales de trabajo y posicionamiento</t>
  </si>
  <si>
    <t>G1</t>
  </si>
  <si>
    <t>Desplazamiento lineal (profundidad de corte)</t>
  </si>
  <si>
    <t>Desplazamiento radial</t>
  </si>
  <si>
    <t>Posicionamiento de retiro</t>
  </si>
  <si>
    <t>Detención del husillo (herramienta)</t>
  </si>
  <si>
    <t>Fin del programa</t>
  </si>
  <si>
    <t>T05</t>
  </si>
  <si>
    <t>mm/min</t>
  </si>
  <si>
    <t>mm</t>
  </si>
  <si>
    <t>rev</t>
  </si>
  <si>
    <t>min</t>
  </si>
  <si>
    <t>N = S</t>
  </si>
  <si>
    <t>F</t>
  </si>
  <si>
    <t>Y-15</t>
  </si>
  <si>
    <t>Z-10</t>
  </si>
  <si>
    <t>G40</t>
  </si>
  <si>
    <t>G41</t>
  </si>
  <si>
    <t>N25</t>
  </si>
  <si>
    <t>M3</t>
  </si>
  <si>
    <t>S318</t>
  </si>
  <si>
    <t>F38.16</t>
  </si>
  <si>
    <t>Y200</t>
  </si>
  <si>
    <t>X300</t>
  </si>
  <si>
    <t>X-50</t>
  </si>
  <si>
    <t>Y-50</t>
  </si>
  <si>
    <t>Z150</t>
  </si>
  <si>
    <t>S5000</t>
  </si>
  <si>
    <t>F500</t>
  </si>
  <si>
    <t>X50</t>
  </si>
  <si>
    <t>Y-130</t>
  </si>
  <si>
    <t>Z50</t>
  </si>
  <si>
    <t>Z5</t>
  </si>
  <si>
    <t>Z-8</t>
  </si>
  <si>
    <t>X150</t>
  </si>
  <si>
    <t>Y-80</t>
  </si>
  <si>
    <t>X120</t>
  </si>
  <si>
    <t>X100</t>
  </si>
  <si>
    <t>Y-100</t>
  </si>
  <si>
    <t>Z100</t>
  </si>
  <si>
    <t xml:space="preserve"> </t>
  </si>
  <si>
    <t>pies/min</t>
  </si>
  <si>
    <t>pul/diente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</si>
</sst>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266976</xdr:colOff>
      <xdr:row>26</xdr:row>
      <xdr:rowOff>111534</xdr:rowOff>
    </xdr:from>
    <xdr:to>
      <xdr:col>19</xdr:col>
      <xdr:colOff>35656</xdr:colOff>
      <xdr:row>38</xdr:row>
      <xdr:rowOff>44043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EDB3EBB-0531-4300-A509-CA435152D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5509" y="1416045"/>
          <a:ext cx="4669223" cy="2168813"/>
        </a:xfrm>
        <a:prstGeom prst="rect">
          <a:avLst/>
        </a:prstGeom>
      </xdr:spPr>
    </xdr:pic>
    <xdr:clientData/>
  </xdr:twoCellAnchor>
  <xdr:twoCellAnchor editAs="oneCell">
    <xdr:from>
      <xdr:col>13</xdr:col>
      <xdr:colOff>22737</xdr:colOff>
      <xdr:row>37</xdr:row>
      <xdr:rowOff>178904</xdr:rowOff>
    </xdr:from>
    <xdr:to>
      <xdr:col>18</xdr:col>
      <xdr:colOff>666029</xdr:colOff>
      <xdr:row>49</xdr:row>
      <xdr:rowOff>52082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6498B2-9014-403D-8F1E-B6AFEF595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77357" y="7074176"/>
          <a:ext cx="4508509" cy="2109482"/>
        </a:xfrm>
        <a:prstGeom prst="rect">
          <a:avLst/>
        </a:prstGeom>
      </xdr:spPr>
    </xdr:pic>
    <xdr:clientData/>
  </xdr:twoCellAnchor>
  <xdr:twoCellAnchor editAs="oneCell">
    <xdr:from>
      <xdr:col>12</xdr:col>
      <xdr:colOff>262677</xdr:colOff>
      <xdr:row>49</xdr:row>
      <xdr:rowOff>8007</xdr:rowOff>
    </xdr:from>
    <xdr:to>
      <xdr:col>17</xdr:col>
      <xdr:colOff>62119</xdr:colOff>
      <xdr:row>61</xdr:row>
      <xdr:rowOff>79344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5D37452-1BBA-4EF9-8A2D-D17E7EB86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41210" y="9139583"/>
          <a:ext cx="3181507" cy="23076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14</xdr:col>
      <xdr:colOff>20706</xdr:colOff>
      <xdr:row>18</xdr:row>
      <xdr:rowOff>51990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93F5BA5-3A7A-48D8-96E1-DEB0D7964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4334565" cy="34064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138113</xdr:colOff>
      <xdr:row>4</xdr:row>
      <xdr:rowOff>163616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FA6DDFB-230A-46E6-A77D-396D93CCB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546600" cy="310366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158750</xdr:colOff>
      <xdr:row>0</xdr:row>
      <xdr:rowOff>31751</xdr:rowOff>
    </xdr:from>
    <xdr:to>
      <xdr:col>8</xdr:col>
      <xdr:colOff>596900</xdr:colOff>
      <xdr:row>15</xdr:row>
      <xdr:rowOff>20059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B32A50D-EA29-4CE2-82F7-CFA0F2D08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50" y="31751"/>
          <a:ext cx="4083050" cy="27505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51CA3-820E-42CF-8259-A18F79BF768E}">
  <dimension ref="A21:O43"/>
  <sheetViews>
    <sheetView topLeftCell="F34" zoomScale="92" workbookViewId="0">
      <selection activeCell="K38" sqref="K38"/>
    </sheetView>
  </sheetViews>
  <sheetFormatPr baseColWidth="10" defaultRowHeight="14.5" x14ac:dyDescent="0.35"/>
  <cols>
    <col min="1" max="1" width="5.08984375" bestFit="1" customWidth="1"/>
    <col min="2" max="2" width="4.08984375" bestFit="1" customWidth="1"/>
    <col min="3" max="3" width="1.81640625" bestFit="1" customWidth="1"/>
    <col min="4" max="5" width="4.453125" bestFit="1" customWidth="1"/>
    <col min="6" max="6" width="3.36328125" bestFit="1" customWidth="1"/>
    <col min="7" max="7" width="3.90625" bestFit="1" customWidth="1"/>
    <col min="8" max="13" width="3.90625" customWidth="1"/>
    <col min="15" max="15" width="11.81640625" customWidth="1"/>
  </cols>
  <sheetData>
    <row r="21" spans="1:15" x14ac:dyDescent="0.35">
      <c r="A21" t="s">
        <v>0</v>
      </c>
      <c r="I21" s="2" t="s">
        <v>44</v>
      </c>
      <c r="J21" s="2"/>
      <c r="K21" s="2"/>
      <c r="L21" s="2"/>
      <c r="M21" s="2"/>
      <c r="N21" s="2"/>
      <c r="O21" s="2"/>
    </row>
    <row r="22" spans="1:15" x14ac:dyDescent="0.35">
      <c r="I22" s="5" t="s">
        <v>46</v>
      </c>
      <c r="J22" s="4"/>
      <c r="K22" s="4"/>
      <c r="L22" s="4"/>
      <c r="M22" s="4"/>
      <c r="N22" s="3"/>
      <c r="O22" s="3"/>
    </row>
    <row r="23" spans="1:15" x14ac:dyDescent="0.35">
      <c r="A23" s="1"/>
      <c r="B23" s="1"/>
      <c r="C23" s="1"/>
      <c r="D23" s="1"/>
      <c r="E23" s="1"/>
      <c r="F23" s="1"/>
      <c r="G23" s="1"/>
      <c r="H23" s="1"/>
      <c r="I23" s="6" t="s">
        <v>47</v>
      </c>
      <c r="J23" s="6"/>
      <c r="K23" s="6"/>
      <c r="L23" s="6"/>
      <c r="M23" s="6"/>
      <c r="N23" s="6"/>
      <c r="O23" s="6"/>
    </row>
    <row r="24" spans="1:15" x14ac:dyDescent="0.35">
      <c r="A24" s="11" t="s">
        <v>20</v>
      </c>
      <c r="B24" s="12">
        <v>10</v>
      </c>
      <c r="I24" s="7" t="s">
        <v>48</v>
      </c>
      <c r="J24" s="7"/>
      <c r="K24" s="7"/>
      <c r="L24" s="7"/>
      <c r="M24" s="7"/>
      <c r="N24" s="7"/>
      <c r="O24" s="7"/>
    </row>
    <row r="25" spans="1:15" x14ac:dyDescent="0.35">
      <c r="A25" s="2" t="s">
        <v>1</v>
      </c>
      <c r="B25" s="2" t="s">
        <v>22</v>
      </c>
      <c r="C25" s="2"/>
      <c r="D25" s="2"/>
      <c r="E25" s="2"/>
      <c r="F25" s="2"/>
      <c r="G25" s="2"/>
      <c r="I25" s="8" t="s">
        <v>49</v>
      </c>
      <c r="J25" s="8"/>
      <c r="K25" s="8"/>
      <c r="L25" s="8"/>
      <c r="M25" s="8"/>
      <c r="N25" s="8"/>
      <c r="O25" s="8"/>
    </row>
    <row r="26" spans="1:15" x14ac:dyDescent="0.35">
      <c r="A26" s="2" t="s">
        <v>2</v>
      </c>
      <c r="B26" s="2" t="s">
        <v>18</v>
      </c>
      <c r="C26" s="2"/>
      <c r="D26" s="2"/>
      <c r="E26" s="2"/>
      <c r="F26" s="2"/>
      <c r="G26" s="2"/>
      <c r="I26" s="9" t="s">
        <v>50</v>
      </c>
      <c r="J26" s="9"/>
      <c r="K26" s="9"/>
      <c r="L26" s="9"/>
      <c r="M26" s="9"/>
      <c r="N26" s="9"/>
      <c r="O26" s="9"/>
    </row>
    <row r="27" spans="1:15" x14ac:dyDescent="0.35">
      <c r="A27" s="2" t="s">
        <v>3</v>
      </c>
      <c r="B27" s="2" t="s">
        <v>19</v>
      </c>
      <c r="C27" s="2" t="s">
        <v>21</v>
      </c>
      <c r="D27" s="2" t="s">
        <v>28</v>
      </c>
      <c r="E27" s="2" t="s">
        <v>26</v>
      </c>
      <c r="F27" s="2" t="s">
        <v>42</v>
      </c>
      <c r="G27" s="2"/>
    </row>
    <row r="28" spans="1:15" x14ac:dyDescent="0.35">
      <c r="A28" s="3" t="s">
        <v>4</v>
      </c>
      <c r="B28" s="3" t="s">
        <v>45</v>
      </c>
      <c r="C28" s="3"/>
      <c r="D28" s="3" t="s">
        <v>28</v>
      </c>
      <c r="E28" s="3" t="s">
        <v>26</v>
      </c>
      <c r="F28" s="3" t="s">
        <v>23</v>
      </c>
      <c r="G28" s="3"/>
    </row>
    <row r="29" spans="1:15" x14ac:dyDescent="0.35">
      <c r="A29" s="6" t="s">
        <v>5</v>
      </c>
      <c r="B29" s="6" t="s">
        <v>24</v>
      </c>
      <c r="C29" s="6"/>
      <c r="D29" s="6" t="s">
        <v>25</v>
      </c>
      <c r="E29" s="6" t="s">
        <v>26</v>
      </c>
      <c r="F29" s="6" t="s">
        <v>23</v>
      </c>
      <c r="G29" s="6" t="s">
        <v>27</v>
      </c>
    </row>
    <row r="30" spans="1:15" x14ac:dyDescent="0.35">
      <c r="A30" s="6" t="s">
        <v>6</v>
      </c>
      <c r="B30" s="6" t="s">
        <v>29</v>
      </c>
      <c r="C30" s="6"/>
      <c r="D30" s="6" t="s">
        <v>30</v>
      </c>
      <c r="E30" s="6" t="s">
        <v>26</v>
      </c>
      <c r="F30" s="6" t="s">
        <v>23</v>
      </c>
      <c r="G30" s="6" t="s">
        <v>27</v>
      </c>
    </row>
    <row r="31" spans="1:15" x14ac:dyDescent="0.35">
      <c r="A31" s="6" t="s">
        <v>7</v>
      </c>
      <c r="B31" s="6" t="s">
        <v>29</v>
      </c>
      <c r="C31" s="6"/>
      <c r="D31" s="6" t="s">
        <v>28</v>
      </c>
      <c r="E31" s="6" t="s">
        <v>26</v>
      </c>
      <c r="F31" s="6" t="s">
        <v>23</v>
      </c>
      <c r="G31" s="6" t="s">
        <v>31</v>
      </c>
    </row>
    <row r="32" spans="1:15" x14ac:dyDescent="0.35">
      <c r="A32" s="6" t="s">
        <v>8</v>
      </c>
      <c r="B32" s="6" t="s">
        <v>24</v>
      </c>
      <c r="C32" s="6"/>
      <c r="D32" s="6" t="s">
        <v>28</v>
      </c>
      <c r="E32" s="6" t="s">
        <v>32</v>
      </c>
      <c r="F32" s="6" t="s">
        <v>23</v>
      </c>
      <c r="G32" s="6" t="s">
        <v>27</v>
      </c>
    </row>
    <row r="33" spans="1:7" x14ac:dyDescent="0.35">
      <c r="A33" s="6" t="s">
        <v>9</v>
      </c>
      <c r="B33" s="6" t="s">
        <v>29</v>
      </c>
      <c r="C33" s="6"/>
      <c r="D33" s="6" t="s">
        <v>28</v>
      </c>
      <c r="E33" s="6" t="s">
        <v>33</v>
      </c>
      <c r="F33" s="6" t="s">
        <v>23</v>
      </c>
      <c r="G33" s="6" t="s">
        <v>27</v>
      </c>
    </row>
    <row r="34" spans="1:7" x14ac:dyDescent="0.35">
      <c r="A34" s="6" t="s">
        <v>10</v>
      </c>
      <c r="B34" s="6" t="s">
        <v>29</v>
      </c>
      <c r="C34" s="6"/>
      <c r="D34" s="6" t="s">
        <v>28</v>
      </c>
      <c r="E34" s="6" t="s">
        <v>26</v>
      </c>
      <c r="F34" s="6" t="s">
        <v>23</v>
      </c>
      <c r="G34" s="6" t="s">
        <v>31</v>
      </c>
    </row>
    <row r="35" spans="1:7" x14ac:dyDescent="0.35">
      <c r="A35" s="6" t="s">
        <v>11</v>
      </c>
      <c r="B35" s="6" t="s">
        <v>24</v>
      </c>
      <c r="C35" s="6"/>
      <c r="D35" s="6" t="s">
        <v>34</v>
      </c>
      <c r="E35" s="6" t="s">
        <v>26</v>
      </c>
      <c r="F35" s="6" t="s">
        <v>23</v>
      </c>
      <c r="G35" s="6" t="s">
        <v>27</v>
      </c>
    </row>
    <row r="36" spans="1:7" x14ac:dyDescent="0.35">
      <c r="A36" s="6" t="s">
        <v>12</v>
      </c>
      <c r="B36" s="6" t="s">
        <v>29</v>
      </c>
      <c r="C36" s="6"/>
      <c r="D36" s="6" t="s">
        <v>35</v>
      </c>
      <c r="E36" s="6" t="s">
        <v>26</v>
      </c>
      <c r="F36" s="6" t="s">
        <v>23</v>
      </c>
      <c r="G36" s="6" t="s">
        <v>27</v>
      </c>
    </row>
    <row r="37" spans="1:7" x14ac:dyDescent="0.35">
      <c r="A37" s="6" t="s">
        <v>13</v>
      </c>
      <c r="B37" s="6" t="s">
        <v>29</v>
      </c>
      <c r="C37" s="6"/>
      <c r="D37" s="6" t="s">
        <v>28</v>
      </c>
      <c r="E37" s="6" t="s">
        <v>26</v>
      </c>
      <c r="F37" s="6" t="s">
        <v>23</v>
      </c>
      <c r="G37" s="6" t="s">
        <v>31</v>
      </c>
    </row>
    <row r="38" spans="1:7" x14ac:dyDescent="0.35">
      <c r="A38" s="6" t="s">
        <v>14</v>
      </c>
      <c r="B38" s="6" t="s">
        <v>24</v>
      </c>
      <c r="C38" s="6"/>
      <c r="D38" s="6" t="s">
        <v>28</v>
      </c>
      <c r="E38" s="6" t="s">
        <v>36</v>
      </c>
      <c r="F38" s="6" t="s">
        <v>23</v>
      </c>
      <c r="G38" s="6" t="s">
        <v>27</v>
      </c>
    </row>
    <row r="39" spans="1:7" x14ac:dyDescent="0.35">
      <c r="A39" s="6" t="s">
        <v>15</v>
      </c>
      <c r="B39" s="6" t="s">
        <v>29</v>
      </c>
      <c r="C39" s="6"/>
      <c r="D39" s="6" t="s">
        <v>28</v>
      </c>
      <c r="E39" s="6" t="s">
        <v>37</v>
      </c>
      <c r="F39" s="6" t="s">
        <v>23</v>
      </c>
      <c r="G39" s="6" t="s">
        <v>27</v>
      </c>
    </row>
    <row r="40" spans="1:7" x14ac:dyDescent="0.35">
      <c r="A40" s="6" t="s">
        <v>16</v>
      </c>
      <c r="B40" s="6" t="s">
        <v>29</v>
      </c>
      <c r="C40" s="6"/>
      <c r="D40" s="6" t="s">
        <v>28</v>
      </c>
      <c r="E40" s="6" t="s">
        <v>26</v>
      </c>
      <c r="F40" s="6" t="s">
        <v>23</v>
      </c>
      <c r="G40" s="6" t="s">
        <v>31</v>
      </c>
    </row>
    <row r="41" spans="1:7" x14ac:dyDescent="0.35">
      <c r="A41" s="7" t="s">
        <v>17</v>
      </c>
      <c r="B41" s="7" t="s">
        <v>19</v>
      </c>
      <c r="C41" s="7"/>
      <c r="D41" s="7"/>
      <c r="E41" s="7"/>
      <c r="F41" s="7" t="s">
        <v>39</v>
      </c>
      <c r="G41" s="7"/>
    </row>
    <row r="42" spans="1:7" x14ac:dyDescent="0.35">
      <c r="A42" s="10" t="s">
        <v>41</v>
      </c>
      <c r="B42" s="10" t="s">
        <v>38</v>
      </c>
      <c r="C42" s="10"/>
      <c r="D42" s="10"/>
      <c r="E42" s="10"/>
      <c r="F42" s="10"/>
      <c r="G42" s="10"/>
    </row>
    <row r="43" spans="1:7" x14ac:dyDescent="0.35">
      <c r="A43" s="9" t="s">
        <v>43</v>
      </c>
      <c r="B43" s="9" t="s">
        <v>40</v>
      </c>
      <c r="C43" s="9"/>
      <c r="D43" s="9"/>
      <c r="E43" s="9"/>
      <c r="F43" s="9"/>
      <c r="G43" s="9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8E582-43E1-469E-948D-588812B14F96}">
  <dimension ref="A1:X24"/>
  <sheetViews>
    <sheetView tabSelected="1" topLeftCell="A7" zoomScale="80" zoomScaleNormal="80" workbookViewId="0">
      <selection activeCell="O25" sqref="O25"/>
    </sheetView>
  </sheetViews>
  <sheetFormatPr baseColWidth="10" defaultRowHeight="14.5" x14ac:dyDescent="0.35"/>
  <cols>
    <col min="1" max="1" width="5.08984375" bestFit="1" customWidth="1"/>
    <col min="2" max="2" width="4.54296875" bestFit="1" customWidth="1"/>
    <col min="3" max="3" width="4.7265625" bestFit="1" customWidth="1"/>
    <col min="4" max="4" width="6.26953125" bestFit="1" customWidth="1"/>
    <col min="5" max="5" width="4.453125" bestFit="1" customWidth="1"/>
    <col min="6" max="6" width="4.36328125" bestFit="1" customWidth="1"/>
    <col min="7" max="7" width="3.90625" bestFit="1" customWidth="1"/>
    <col min="9" max="9" width="4.81640625" bestFit="1" customWidth="1"/>
    <col min="10" max="10" width="5.08984375" bestFit="1" customWidth="1"/>
    <col min="11" max="11" width="4.90625" bestFit="1" customWidth="1"/>
    <col min="12" max="12" width="4" bestFit="1" customWidth="1"/>
    <col min="13" max="13" width="5.81640625" bestFit="1" customWidth="1"/>
    <col min="14" max="14" width="8.08984375" bestFit="1" customWidth="1"/>
  </cols>
  <sheetData>
    <row r="1" spans="1:24" ht="188" customHeight="1" x14ac:dyDescent="0.35">
      <c r="X1" t="s">
        <v>84</v>
      </c>
    </row>
    <row r="6" spans="1:24" x14ac:dyDescent="0.35">
      <c r="A6" s="13" t="s">
        <v>1</v>
      </c>
      <c r="B6" s="13" t="s">
        <v>22</v>
      </c>
      <c r="C6" s="13"/>
      <c r="D6" s="13"/>
      <c r="E6" s="13"/>
      <c r="F6" s="13"/>
      <c r="G6" s="13"/>
    </row>
    <row r="7" spans="1:24" x14ac:dyDescent="0.35">
      <c r="A7" s="13" t="s">
        <v>2</v>
      </c>
      <c r="B7" s="13" t="s">
        <v>18</v>
      </c>
      <c r="C7" s="13"/>
      <c r="D7" s="13"/>
      <c r="E7" s="13"/>
      <c r="F7" s="13"/>
      <c r="G7" s="13"/>
    </row>
    <row r="8" spans="1:24" x14ac:dyDescent="0.35">
      <c r="A8" s="13" t="s">
        <v>62</v>
      </c>
      <c r="B8" s="13" t="s">
        <v>51</v>
      </c>
      <c r="C8" s="13" t="s">
        <v>64</v>
      </c>
      <c r="D8" s="13" t="s">
        <v>65</v>
      </c>
      <c r="E8" s="13" t="s">
        <v>63</v>
      </c>
      <c r="G8" s="13"/>
    </row>
    <row r="9" spans="1:24" x14ac:dyDescent="0.35">
      <c r="A9" s="13" t="s">
        <v>3</v>
      </c>
      <c r="B9" s="13" t="s">
        <v>19</v>
      </c>
      <c r="D9" s="13" t="s">
        <v>28</v>
      </c>
      <c r="E9" s="13" t="s">
        <v>58</v>
      </c>
      <c r="F9" s="13" t="s">
        <v>59</v>
      </c>
      <c r="G9" s="13"/>
    </row>
    <row r="10" spans="1:24" x14ac:dyDescent="0.35">
      <c r="A10" s="13" t="s">
        <v>4</v>
      </c>
      <c r="B10" s="13" t="s">
        <v>45</v>
      </c>
      <c r="C10" s="13"/>
      <c r="D10" s="13" t="s">
        <v>28</v>
      </c>
      <c r="E10" s="13" t="s">
        <v>66</v>
      </c>
      <c r="F10" s="13" t="s">
        <v>59</v>
      </c>
      <c r="G10" s="13"/>
    </row>
    <row r="11" spans="1:24" x14ac:dyDescent="0.35">
      <c r="A11" s="13" t="s">
        <v>5</v>
      </c>
      <c r="B11" s="13" t="s">
        <v>45</v>
      </c>
      <c r="C11" s="13"/>
      <c r="D11" s="13" t="s">
        <v>67</v>
      </c>
      <c r="E11" s="13" t="s">
        <v>66</v>
      </c>
      <c r="F11" s="13" t="s">
        <v>59</v>
      </c>
      <c r="G11" s="13"/>
      <c r="K11" t="s">
        <v>56</v>
      </c>
      <c r="M11" t="s">
        <v>57</v>
      </c>
    </row>
    <row r="12" spans="1:24" x14ac:dyDescent="0.35">
      <c r="A12" s="13" t="s">
        <v>6</v>
      </c>
      <c r="B12" s="13" t="s">
        <v>45</v>
      </c>
      <c r="C12" s="13"/>
      <c r="D12" s="13" t="s">
        <v>67</v>
      </c>
      <c r="E12" s="13" t="s">
        <v>26</v>
      </c>
      <c r="F12" s="13" t="s">
        <v>59</v>
      </c>
      <c r="G12" s="13"/>
      <c r="I12">
        <f>4*0.03</f>
        <v>0.12</v>
      </c>
      <c r="J12" s="13" t="s">
        <v>53</v>
      </c>
      <c r="K12" s="13">
        <v>318</v>
      </c>
      <c r="L12" s="13" t="s">
        <v>54</v>
      </c>
      <c r="M12">
        <f>I12*K12</f>
        <v>38.159999999999997</v>
      </c>
      <c r="N12" t="s">
        <v>52</v>
      </c>
    </row>
    <row r="13" spans="1:24" x14ac:dyDescent="0.35">
      <c r="A13" s="13" t="s">
        <v>7</v>
      </c>
      <c r="B13" s="13" t="s">
        <v>45</v>
      </c>
      <c r="C13" s="13"/>
      <c r="D13" s="13" t="s">
        <v>28</v>
      </c>
      <c r="E13" s="13" t="s">
        <v>26</v>
      </c>
      <c r="F13" s="13" t="s">
        <v>59</v>
      </c>
      <c r="G13" s="13"/>
      <c r="J13" s="13" t="s">
        <v>54</v>
      </c>
      <c r="K13" s="13"/>
      <c r="L13" s="13" t="s">
        <v>55</v>
      </c>
    </row>
    <row r="14" spans="1:24" x14ac:dyDescent="0.35">
      <c r="A14" s="13" t="s">
        <v>8</v>
      </c>
      <c r="B14" s="13" t="s">
        <v>19</v>
      </c>
      <c r="C14" s="13"/>
      <c r="D14" s="13" t="s">
        <v>68</v>
      </c>
      <c r="E14" s="13" t="s">
        <v>69</v>
      </c>
      <c r="F14" s="13" t="s">
        <v>70</v>
      </c>
      <c r="G14" s="13"/>
    </row>
    <row r="15" spans="1:24" x14ac:dyDescent="0.35">
      <c r="A15" s="13" t="s">
        <v>9</v>
      </c>
      <c r="B15" s="13" t="s">
        <v>38</v>
      </c>
      <c r="C15" s="13"/>
      <c r="D15" s="13"/>
      <c r="E15" s="13"/>
      <c r="F15" s="13"/>
      <c r="G15" s="13"/>
    </row>
    <row r="16" spans="1:24" x14ac:dyDescent="0.35">
      <c r="A16" s="13" t="s">
        <v>10</v>
      </c>
      <c r="B16" s="13" t="s">
        <v>40</v>
      </c>
      <c r="C16" s="13"/>
      <c r="D16" s="13"/>
      <c r="E16" s="13"/>
      <c r="F16" s="13"/>
      <c r="G16" s="13"/>
    </row>
    <row r="17" spans="1:15" x14ac:dyDescent="0.35">
      <c r="A17" s="13"/>
    </row>
    <row r="19" spans="1:15" x14ac:dyDescent="0.35">
      <c r="J19">
        <v>4116</v>
      </c>
      <c r="K19">
        <v>0.01</v>
      </c>
      <c r="L19">
        <v>0.1</v>
      </c>
    </row>
    <row r="22" spans="1:15" x14ac:dyDescent="0.35">
      <c r="J22">
        <f>J19*K19*L19</f>
        <v>4.1160000000000005</v>
      </c>
    </row>
    <row r="23" spans="1:15" x14ac:dyDescent="0.35">
      <c r="N23">
        <v>586</v>
      </c>
      <c r="O23" t="s">
        <v>85</v>
      </c>
    </row>
    <row r="24" spans="1:15" x14ac:dyDescent="0.35">
      <c r="N24">
        <v>0.01</v>
      </c>
      <c r="O24" t="s">
        <v>86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85CD4-515F-4EFA-8EE9-D61C99AE3086}">
  <dimension ref="A17:G34"/>
  <sheetViews>
    <sheetView topLeftCell="A13" workbookViewId="0">
      <selection activeCell="L9" sqref="L9"/>
    </sheetView>
  </sheetViews>
  <sheetFormatPr baseColWidth="10" defaultRowHeight="14.5" x14ac:dyDescent="0.35"/>
  <cols>
    <col min="1" max="1" width="5.08984375" bestFit="1" customWidth="1"/>
    <col min="2" max="2" width="4.54296875" bestFit="1" customWidth="1"/>
    <col min="3" max="3" width="5.7265625" bestFit="1" customWidth="1"/>
    <col min="4" max="4" width="4.81640625" bestFit="1" customWidth="1"/>
    <col min="5" max="5" width="5.453125" bestFit="1" customWidth="1"/>
    <col min="6" max="6" width="4.7265625" bestFit="1" customWidth="1"/>
  </cols>
  <sheetData>
    <row r="17" spans="1:7" x14ac:dyDescent="0.35">
      <c r="A17" s="13" t="s">
        <v>1</v>
      </c>
      <c r="B17" s="13" t="s">
        <v>22</v>
      </c>
      <c r="C17" s="13"/>
      <c r="D17" s="13"/>
      <c r="E17" s="13"/>
      <c r="F17" s="13"/>
    </row>
    <row r="18" spans="1:7" x14ac:dyDescent="0.35">
      <c r="A18" s="13" t="s">
        <v>2</v>
      </c>
      <c r="B18" s="13" t="s">
        <v>18</v>
      </c>
      <c r="C18" s="13"/>
      <c r="D18" s="13"/>
      <c r="E18" s="13"/>
      <c r="F18" s="13"/>
    </row>
    <row r="19" spans="1:7" x14ac:dyDescent="0.35">
      <c r="A19" s="13" t="s">
        <v>3</v>
      </c>
      <c r="B19" s="13" t="s">
        <v>51</v>
      </c>
      <c r="C19" s="13" t="s">
        <v>71</v>
      </c>
      <c r="D19" s="13" t="s">
        <v>72</v>
      </c>
      <c r="E19" s="13" t="s">
        <v>63</v>
      </c>
    </row>
    <row r="20" spans="1:7" x14ac:dyDescent="0.35">
      <c r="A20" s="13" t="s">
        <v>4</v>
      </c>
      <c r="B20" s="13" t="s">
        <v>61</v>
      </c>
      <c r="C20" s="13"/>
      <c r="D20" s="13"/>
      <c r="E20" s="13"/>
    </row>
    <row r="21" spans="1:7" x14ac:dyDescent="0.35">
      <c r="A21" s="13" t="s">
        <v>5</v>
      </c>
      <c r="B21" s="13" t="s">
        <v>19</v>
      </c>
      <c r="D21" s="13" t="s">
        <v>73</v>
      </c>
      <c r="E21" s="13" t="s">
        <v>74</v>
      </c>
      <c r="F21" s="13" t="s">
        <v>75</v>
      </c>
    </row>
    <row r="22" spans="1:7" x14ac:dyDescent="0.35">
      <c r="A22" s="13" t="s">
        <v>6</v>
      </c>
      <c r="B22" s="13" t="s">
        <v>19</v>
      </c>
      <c r="C22" s="13"/>
      <c r="D22" s="13" t="s">
        <v>73</v>
      </c>
      <c r="E22" s="13" t="s">
        <v>74</v>
      </c>
      <c r="F22" s="13" t="s">
        <v>76</v>
      </c>
    </row>
    <row r="23" spans="1:7" x14ac:dyDescent="0.35">
      <c r="A23" s="13" t="s">
        <v>7</v>
      </c>
      <c r="B23" s="13" t="s">
        <v>45</v>
      </c>
      <c r="C23" s="13"/>
      <c r="D23" s="13" t="s">
        <v>73</v>
      </c>
      <c r="E23" s="13" t="s">
        <v>74</v>
      </c>
      <c r="F23" s="13" t="s">
        <v>77</v>
      </c>
    </row>
    <row r="24" spans="1:7" x14ac:dyDescent="0.35">
      <c r="A24" s="13" t="s">
        <v>8</v>
      </c>
      <c r="B24" s="13" t="s">
        <v>45</v>
      </c>
      <c r="C24" s="13"/>
      <c r="D24" s="13" t="s">
        <v>28</v>
      </c>
      <c r="E24" s="13" t="s">
        <v>82</v>
      </c>
      <c r="F24" s="13" t="s">
        <v>77</v>
      </c>
    </row>
    <row r="25" spans="1:7" x14ac:dyDescent="0.35">
      <c r="A25" s="13" t="s">
        <v>9</v>
      </c>
      <c r="B25" s="13" t="s">
        <v>45</v>
      </c>
      <c r="C25" s="13"/>
      <c r="D25" s="13" t="s">
        <v>28</v>
      </c>
      <c r="E25" s="13" t="s">
        <v>26</v>
      </c>
      <c r="F25" s="13" t="s">
        <v>77</v>
      </c>
    </row>
    <row r="26" spans="1:7" x14ac:dyDescent="0.35">
      <c r="A26" s="13" t="s">
        <v>10</v>
      </c>
      <c r="B26" s="13" t="s">
        <v>45</v>
      </c>
      <c r="C26" s="13"/>
      <c r="D26" s="13" t="s">
        <v>78</v>
      </c>
      <c r="E26" s="13" t="s">
        <v>26</v>
      </c>
      <c r="F26" s="13" t="s">
        <v>77</v>
      </c>
    </row>
    <row r="27" spans="1:7" x14ac:dyDescent="0.35">
      <c r="A27" s="13" t="s">
        <v>11</v>
      </c>
      <c r="B27" s="13" t="s">
        <v>45</v>
      </c>
      <c r="C27" s="13"/>
      <c r="D27" s="13" t="s">
        <v>78</v>
      </c>
      <c r="E27" s="13" t="s">
        <v>79</v>
      </c>
      <c r="F27" s="13" t="s">
        <v>77</v>
      </c>
    </row>
    <row r="28" spans="1:7" x14ac:dyDescent="0.35">
      <c r="A28" s="13" t="s">
        <v>12</v>
      </c>
      <c r="B28" s="13" t="s">
        <v>45</v>
      </c>
      <c r="C28" s="13"/>
      <c r="D28" s="13" t="s">
        <v>80</v>
      </c>
      <c r="E28" s="13" t="s">
        <v>79</v>
      </c>
      <c r="F28" s="13" t="s">
        <v>77</v>
      </c>
    </row>
    <row r="29" spans="1:7" x14ac:dyDescent="0.35">
      <c r="A29" s="13" t="s">
        <v>13</v>
      </c>
      <c r="B29" s="13" t="s">
        <v>29</v>
      </c>
      <c r="C29" s="13"/>
      <c r="D29" s="13" t="s">
        <v>81</v>
      </c>
      <c r="E29" s="13" t="s">
        <v>82</v>
      </c>
      <c r="F29" s="13" t="s">
        <v>77</v>
      </c>
      <c r="G29" s="13" t="s">
        <v>31</v>
      </c>
    </row>
    <row r="30" spans="1:7" x14ac:dyDescent="0.35">
      <c r="A30" s="13" t="s">
        <v>14</v>
      </c>
      <c r="B30" s="13" t="s">
        <v>60</v>
      </c>
      <c r="C30" s="13"/>
      <c r="D30" s="13" t="s">
        <v>73</v>
      </c>
      <c r="E30" s="13" t="s">
        <v>82</v>
      </c>
      <c r="F30" s="13" t="s">
        <v>77</v>
      </c>
    </row>
    <row r="31" spans="1:7" x14ac:dyDescent="0.35">
      <c r="A31" s="13" t="s">
        <v>15</v>
      </c>
      <c r="B31" s="13" t="s">
        <v>19</v>
      </c>
      <c r="D31" s="13" t="s">
        <v>73</v>
      </c>
      <c r="E31" s="13" t="s">
        <v>74</v>
      </c>
      <c r="F31" s="13" t="s">
        <v>83</v>
      </c>
    </row>
    <row r="32" spans="1:7" x14ac:dyDescent="0.35">
      <c r="A32" s="13" t="s">
        <v>16</v>
      </c>
      <c r="B32" s="13" t="s">
        <v>63</v>
      </c>
      <c r="F32" s="13"/>
    </row>
    <row r="33" spans="1:6" x14ac:dyDescent="0.35">
      <c r="A33" s="13" t="s">
        <v>17</v>
      </c>
      <c r="B33" s="13" t="s">
        <v>38</v>
      </c>
      <c r="F33" s="13"/>
    </row>
    <row r="34" spans="1:6" x14ac:dyDescent="0.35">
      <c r="F34" s="13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CNC</vt:lpstr>
      <vt:lpstr>CNC1</vt:lpstr>
      <vt:lpstr>CNC2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Perla Siri Silva Ramos</dc:creator>
  <cp:lastModifiedBy>Perla Siri Silva Ramos</cp:lastModifiedBy>
  <dcterms:created xsi:type="dcterms:W3CDTF">2021-11-17T02:58:00Z</dcterms:created>
  <dcterms:modified xsi:type="dcterms:W3CDTF">2021-11-18T21:35:47Z</dcterms:modified>
</cp:coreProperties>
</file>